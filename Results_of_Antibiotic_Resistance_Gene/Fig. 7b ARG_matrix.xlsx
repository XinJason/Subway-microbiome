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ATA_PROCESS\Subway_Microbiome\Bacteria_Data\宏基因组分析\抗生素抗性基因分析结果ARG2\"/>
    </mc:Choice>
  </mc:AlternateContent>
  <xr:revisionPtr revIDLastSave="0" documentId="13_ncr:1_{83368BF6-F708-494C-B606-E69D9CDED710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69" i="2" l="1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S69" i="1"/>
  <c r="CE69" i="1"/>
  <c r="Z69" i="1"/>
  <c r="CM69" i="1"/>
  <c r="CD69" i="1"/>
  <c r="AR69" i="1"/>
  <c r="BM69" i="1"/>
  <c r="CC69" i="1"/>
  <c r="CB69" i="1"/>
  <c r="CX69" i="1"/>
  <c r="CW69" i="1"/>
  <c r="BL69" i="1"/>
  <c r="CA69" i="1"/>
  <c r="BK69" i="1"/>
  <c r="Y69" i="1"/>
  <c r="BJ69" i="1"/>
  <c r="AQ69" i="1"/>
  <c r="AP69" i="1"/>
  <c r="BZ69" i="1"/>
  <c r="X69" i="1"/>
  <c r="CL69" i="1"/>
  <c r="BI69" i="1"/>
  <c r="BY69" i="1"/>
  <c r="W69" i="1"/>
  <c r="BX69" i="1"/>
  <c r="BW69" i="1"/>
  <c r="BH69" i="1"/>
  <c r="V69" i="1"/>
  <c r="CO69" i="1"/>
  <c r="BV69" i="1"/>
  <c r="CK69" i="1"/>
  <c r="AO69" i="1"/>
  <c r="U69" i="1"/>
  <c r="BG69" i="1"/>
  <c r="T69" i="1"/>
  <c r="CS69" i="1"/>
  <c r="AN69" i="1"/>
  <c r="BF69" i="1"/>
  <c r="AM69" i="1"/>
  <c r="BE69" i="1"/>
  <c r="S69" i="1"/>
  <c r="AL69" i="1"/>
  <c r="CJ69" i="1"/>
  <c r="AK69" i="1"/>
  <c r="R69" i="1"/>
  <c r="BU69" i="1"/>
  <c r="AJ69" i="1"/>
  <c r="Q69" i="1"/>
  <c r="AI69" i="1"/>
  <c r="CQ69" i="1"/>
  <c r="P69" i="1"/>
  <c r="O69" i="1"/>
  <c r="CR69" i="1"/>
  <c r="BD69" i="1"/>
  <c r="AH69" i="1"/>
  <c r="BC69" i="1"/>
  <c r="N69" i="1"/>
  <c r="AG69" i="1"/>
  <c r="M69" i="1"/>
  <c r="L69" i="1"/>
  <c r="K69" i="1"/>
  <c r="AF69" i="1"/>
  <c r="BB69" i="1"/>
  <c r="AE69" i="1"/>
  <c r="BA69" i="1"/>
  <c r="AZ69" i="1"/>
  <c r="AD69" i="1"/>
  <c r="AY69" i="1"/>
  <c r="AX69" i="1"/>
  <c r="J69" i="1"/>
  <c r="BT69" i="1"/>
  <c r="I69" i="1"/>
  <c r="CI69" i="1"/>
  <c r="CU69" i="1"/>
  <c r="CH69" i="1"/>
  <c r="BS69" i="1"/>
  <c r="CT69" i="1"/>
  <c r="CY69" i="1"/>
  <c r="AC69" i="1"/>
  <c r="AW69" i="1"/>
  <c r="H69" i="1"/>
  <c r="G69" i="1"/>
  <c r="AB69" i="1"/>
  <c r="F69" i="1"/>
  <c r="E69" i="1"/>
  <c r="CG69" i="1"/>
  <c r="CV69" i="1"/>
  <c r="BR69" i="1"/>
  <c r="BQ69" i="1"/>
  <c r="AV69" i="1"/>
  <c r="BP69" i="1"/>
  <c r="CF69" i="1"/>
  <c r="AA69" i="1"/>
  <c r="D69" i="1"/>
  <c r="CN69" i="1"/>
  <c r="AU69" i="1"/>
  <c r="C69" i="1"/>
  <c r="CP69" i="1"/>
  <c r="B69" i="1"/>
  <c r="BO69" i="1"/>
  <c r="A69" i="1"/>
  <c r="BN69" i="1"/>
  <c r="AT69" i="1"/>
  <c r="DB68" i="1"/>
  <c r="DB67" i="1"/>
  <c r="DB66" i="1"/>
  <c r="DB65" i="1"/>
  <c r="DB64" i="1"/>
  <c r="DB63" i="1"/>
  <c r="DB62" i="1"/>
  <c r="DB61" i="1"/>
  <c r="DB60" i="1"/>
  <c r="DB59" i="1"/>
  <c r="DB58" i="1"/>
  <c r="DB57" i="1"/>
  <c r="DB56" i="1"/>
  <c r="DB55" i="1"/>
  <c r="DB54" i="1"/>
  <c r="DB53" i="1"/>
  <c r="DB52" i="1"/>
  <c r="DB51" i="1"/>
  <c r="DB50" i="1"/>
  <c r="DB49" i="1"/>
  <c r="DB48" i="1"/>
  <c r="DB47" i="1"/>
  <c r="DB46" i="1"/>
  <c r="DB45" i="1"/>
  <c r="DB44" i="1"/>
  <c r="DB43" i="1"/>
  <c r="DB42" i="1"/>
  <c r="DB41" i="1"/>
  <c r="DB40" i="1"/>
  <c r="DB39" i="1"/>
  <c r="DB38" i="1"/>
  <c r="DB37" i="1"/>
  <c r="DB36" i="1"/>
  <c r="DB35" i="1"/>
  <c r="DB34" i="1"/>
  <c r="DB33" i="1"/>
  <c r="DB32" i="1"/>
  <c r="DB31" i="1"/>
  <c r="DB30" i="1"/>
  <c r="DB29" i="1"/>
  <c r="DB28" i="1"/>
  <c r="DB27" i="1"/>
  <c r="DB26" i="1"/>
  <c r="DB25" i="1"/>
  <c r="DB24" i="1"/>
  <c r="DB23" i="1"/>
  <c r="DB22" i="1"/>
  <c r="DB21" i="1"/>
  <c r="DB20" i="1"/>
  <c r="DB19" i="1"/>
  <c r="DB18" i="1"/>
  <c r="DB17" i="1"/>
  <c r="DB16" i="1"/>
  <c r="DB15" i="1"/>
  <c r="DB14" i="1"/>
  <c r="DB13" i="1"/>
  <c r="DB12" i="1"/>
  <c r="DB11" i="1"/>
  <c r="DB10" i="1"/>
  <c r="DB9" i="1"/>
  <c r="DB8" i="1"/>
  <c r="DB7" i="1"/>
  <c r="DB6" i="1"/>
  <c r="DB5" i="1"/>
  <c r="DB4" i="1"/>
  <c r="DB3" i="1"/>
  <c r="DB2" i="1"/>
</calcChain>
</file>

<file path=xl/sharedStrings.xml><?xml version="1.0" encoding="utf-8"?>
<sst xmlns="http://schemas.openxmlformats.org/spreadsheetml/2006/main" count="468" uniqueCount="214">
  <si>
    <t>Sg_BJN11YM_2</t>
  </si>
  <si>
    <t>Sg_BJN12YM_2</t>
  </si>
  <si>
    <t>Sg_BJN12YM_6</t>
  </si>
  <si>
    <t>Sg_BJN3YM_1</t>
  </si>
  <si>
    <t>Sg_BJN3YM_3</t>
  </si>
  <si>
    <t>Sg_BJN3YM_6</t>
  </si>
  <si>
    <t>Sg_BJN3YM_7</t>
  </si>
  <si>
    <t>Sg_BJN3YM_9</t>
  </si>
  <si>
    <t>Sg_BJN5Y4M_3</t>
  </si>
  <si>
    <t>Sg_BJN5Y4M_6</t>
  </si>
  <si>
    <t>Sg_BJN5Y4M_8</t>
  </si>
  <si>
    <t>Sg_BJN6YM_4</t>
  </si>
  <si>
    <t>Sg_BJN6YM_5</t>
  </si>
  <si>
    <t>Sg_BJN6YM_7</t>
  </si>
  <si>
    <t>Sg_BJN8YM_1</t>
  </si>
  <si>
    <t>Sg_BJN8YM_2</t>
  </si>
  <si>
    <t>Sg_HDHZ12YM_3</t>
  </si>
  <si>
    <t>Sg_HDHZ2YM_2</t>
  </si>
  <si>
    <t>Sg_HDHZ2YM_3</t>
  </si>
  <si>
    <t>Sg_HDHZ3YM_10</t>
  </si>
  <si>
    <t>Sg_HDHZ3YM_13</t>
  </si>
  <si>
    <t>Sg_HDHZ3YM_3</t>
  </si>
  <si>
    <t>Sg_HDHZ3YM_5</t>
  </si>
  <si>
    <t>Sg_HDHZ3YM_9</t>
  </si>
  <si>
    <t>Sg_HDHZ4YM_4</t>
  </si>
  <si>
    <t>Sg_HDHZ5YM_1</t>
  </si>
  <si>
    <t>Sg_HDHZ5YM_2</t>
  </si>
  <si>
    <t>Sg_HDHZ6YM_2</t>
  </si>
  <si>
    <t>Sg_HDHZ7YM_1</t>
  </si>
  <si>
    <t>Sg_HDHZ7YM_3</t>
  </si>
  <si>
    <t>Sg_HDHZ9YM_2</t>
  </si>
  <si>
    <t>Sg_YFZ7YM_2</t>
  </si>
  <si>
    <t>Sg_YFZ7YM_6</t>
  </si>
  <si>
    <t>Sg_YFZ9YM_2</t>
  </si>
  <si>
    <t>Sg_YFZ9YM_3</t>
  </si>
  <si>
    <t>Sg_Month1_1</t>
  </si>
  <si>
    <t>Sg_Month1_16</t>
  </si>
  <si>
    <t>Sg_Month1_17</t>
  </si>
  <si>
    <t>Sg_Month1_19</t>
  </si>
  <si>
    <t>Sg_Month1_3</t>
  </si>
  <si>
    <t>Sg_Month1_9</t>
  </si>
  <si>
    <t>Sg_Month10_1</t>
  </si>
  <si>
    <t>Sg_Month10_12</t>
  </si>
  <si>
    <t>Sg_Month10_17</t>
  </si>
  <si>
    <t>Sg_Month10_3</t>
  </si>
  <si>
    <t>Sg_Month11_1</t>
  </si>
  <si>
    <t>Sg_Month11_10</t>
  </si>
  <si>
    <t>Sg_Month11_12</t>
  </si>
  <si>
    <t>Sg_Month11_14</t>
  </si>
  <si>
    <t>Sg_Month11_2</t>
  </si>
  <si>
    <t>Sg_Month11_3</t>
  </si>
  <si>
    <t>Sg_Month11_5</t>
  </si>
  <si>
    <t>Sg_Month11_7</t>
  </si>
  <si>
    <t>Sg_Month11_8</t>
  </si>
  <si>
    <t>Sg_Month12_1</t>
  </si>
  <si>
    <t>Sg_Month12_10</t>
  </si>
  <si>
    <t>Sg_Month12_11</t>
  </si>
  <si>
    <t>Sg_Month12_2</t>
  </si>
  <si>
    <t>Sg_Month2_12</t>
  </si>
  <si>
    <t>Sg_Month2_16</t>
  </si>
  <si>
    <t>Sg_Month2_6</t>
  </si>
  <si>
    <t>Sg_Month2_8</t>
  </si>
  <si>
    <t>Sg_Month2_9</t>
  </si>
  <si>
    <t>Sg_Month3_10</t>
  </si>
  <si>
    <t>Sg_Month3_11</t>
  </si>
  <si>
    <t>Sg_Month3_13</t>
  </si>
  <si>
    <t>Sg_Month3_15</t>
  </si>
  <si>
    <t>Sg_Month3_19</t>
  </si>
  <si>
    <t>Sg_Month3_4</t>
  </si>
  <si>
    <t>Sg_Month3_5</t>
  </si>
  <si>
    <t>Sg_Month4_16</t>
  </si>
  <si>
    <t>Sg_Month4_2</t>
  </si>
  <si>
    <t>Sg_Month4_5</t>
  </si>
  <si>
    <t>Sg_Month4_8</t>
  </si>
  <si>
    <t>Sg_Month4_9</t>
  </si>
  <si>
    <t>Sg_Month5_10</t>
  </si>
  <si>
    <t>Sg_Month5_11</t>
  </si>
  <si>
    <t>Sg_Month5_15</t>
  </si>
  <si>
    <t>Sg_Month5_17</t>
  </si>
  <si>
    <t>Sg_Month5_19</t>
  </si>
  <si>
    <t>Sg_Month5_21</t>
  </si>
  <si>
    <t>Sg_Month5_25</t>
  </si>
  <si>
    <t>Sg_Month5_26</t>
  </si>
  <si>
    <t>Sg_Month5_3</t>
  </si>
  <si>
    <t>Sg_Month5_6</t>
  </si>
  <si>
    <t>Sg_Month5_8</t>
  </si>
  <si>
    <t>Sg_Month5_9</t>
  </si>
  <si>
    <t>Sg_Month6_10</t>
  </si>
  <si>
    <t>Sg_Month6_13</t>
  </si>
  <si>
    <t>Sg_Month6_14</t>
  </si>
  <si>
    <t>Sg_Month6_5</t>
  </si>
  <si>
    <t>Sg_Month6_6</t>
  </si>
  <si>
    <t>Sg_Month6_8</t>
  </si>
  <si>
    <t>Sg_Month7_6</t>
  </si>
  <si>
    <t>Sg_Month7_9</t>
  </si>
  <si>
    <t>Sg_Month8_1</t>
  </si>
  <si>
    <t>Sg_Month8_14</t>
  </si>
  <si>
    <t>Sg_Month8_3</t>
  </si>
  <si>
    <t>Sg_Month9_1</t>
  </si>
  <si>
    <t>Sg_Month9_2</t>
  </si>
  <si>
    <t>Sg_Month9_4</t>
  </si>
  <si>
    <t>Sg_Month9_8</t>
  </si>
  <si>
    <t>Sg_Month9_9</t>
  </si>
  <si>
    <t>qacJ</t>
  </si>
  <si>
    <t>benzalkonium chloride</t>
  </si>
  <si>
    <t>rsmA</t>
  </si>
  <si>
    <t>trimethoprim; chloramphenicol</t>
  </si>
  <si>
    <t>H-NS</t>
  </si>
  <si>
    <t>erythromycin; cloxacillin; ciprofloxacin; tetracycline; oxacillin; norfloxacin</t>
  </si>
  <si>
    <t>BJP-1</t>
  </si>
  <si>
    <t>unknown</t>
  </si>
  <si>
    <t>adeF</t>
  </si>
  <si>
    <t>tetracycline</t>
  </si>
  <si>
    <t>ArnT</t>
  </si>
  <si>
    <t>colistin A; colistin B</t>
  </si>
  <si>
    <t>cmx</t>
  </si>
  <si>
    <t>chloramphenicol</t>
  </si>
  <si>
    <t>qacG</t>
  </si>
  <si>
    <t>vanH</t>
  </si>
  <si>
    <t>vancomycin</t>
  </si>
  <si>
    <t>KpnH</t>
  </si>
  <si>
    <t>erythromycin; gentamicin C; ciprofloxacin; spectinomycin; streptomycin; tobramycin; ceftazidime; ertapenem; piperacillin; azithromycin; imipenem; polymyxin B; polymyxin B1; polymyxin B2; polymyxin B3; polymyxin B4; norfloxacin; ticarcillin; gentamicin</t>
  </si>
  <si>
    <t>CRP</t>
  </si>
  <si>
    <t>erythromycin; cloxacillin; oxacillin; norfloxacin</t>
  </si>
  <si>
    <t>gyrB</t>
  </si>
  <si>
    <t>enoxacin; ciprofloxacin; levofloxacin; moxifloxacin; gatifloxacin; lomefloxacin; nalidixic acid; norfloxacin; ofloxacin; trovafloxacin; grepafloxacin; sparfloxacin; pefloxacin</t>
  </si>
  <si>
    <t>PBP3</t>
  </si>
  <si>
    <t>ceftriaxone; ampicillin; cefaclor; cefotaxime; cefditoren; cefdinir</t>
  </si>
  <si>
    <t>OXA-60</t>
  </si>
  <si>
    <t>cloxacillin; oxacillin; cefalotin</t>
  </si>
  <si>
    <t>OXA-22</t>
  </si>
  <si>
    <t>AfCAT</t>
  </si>
  <si>
    <t>OXA-212</t>
  </si>
  <si>
    <t>msrE</t>
  </si>
  <si>
    <t>erythromycin</t>
  </si>
  <si>
    <t>vanW</t>
  </si>
  <si>
    <t>catI</t>
  </si>
  <si>
    <t>azidamfenicol; chloramphenicol; thiamphenicol</t>
  </si>
  <si>
    <t>tet(C)</t>
  </si>
  <si>
    <t>APH(6)-Id</t>
  </si>
  <si>
    <t>streptomycin</t>
  </si>
  <si>
    <t>APH(3'')-Ib</t>
  </si>
  <si>
    <t>mphE</t>
  </si>
  <si>
    <t>OXA-1044</t>
  </si>
  <si>
    <t>oxacillin</t>
  </si>
  <si>
    <t>tet(A)</t>
  </si>
  <si>
    <t>vanY</t>
  </si>
  <si>
    <t>folC</t>
  </si>
  <si>
    <t>para-aminosalicylic acid</t>
  </si>
  <si>
    <t>acrA</t>
  </si>
  <si>
    <t>tigecycline; ciprofloxacin; tetracycline; rifampin; chloramphenicol; ampicillin; cefalotin; triclosan</t>
  </si>
  <si>
    <t>AcrAB-TolC_MarR</t>
  </si>
  <si>
    <t>baeR</t>
  </si>
  <si>
    <t>novobiocin</t>
  </si>
  <si>
    <t>emrB</t>
  </si>
  <si>
    <t>nalidixic acid</t>
  </si>
  <si>
    <t>emrR</t>
  </si>
  <si>
    <t>fosA5</t>
  </si>
  <si>
    <t>ciprofloxacin; gentamicin</t>
  </si>
  <si>
    <t>GlpT</t>
  </si>
  <si>
    <t>fosfomycin</t>
  </si>
  <si>
    <t>KpnE</t>
  </si>
  <si>
    <t>erythromycin; streptomycin; tetracycline; cefepime; ceftriaxone; rifampin; colistin A; colistin B; triclosan; benzalkonium chloride; chlorhexidine</t>
  </si>
  <si>
    <t>KpnF</t>
  </si>
  <si>
    <t>leuO</t>
  </si>
  <si>
    <t>acriflavine; puromycin</t>
  </si>
  <si>
    <t>marA</t>
  </si>
  <si>
    <t>tigecycline; tetracycline; rifampin; chloramphenicol; ampicillin; cefalotin; triclosan</t>
  </si>
  <si>
    <t>msbA</t>
  </si>
  <si>
    <t>metronidazole</t>
  </si>
  <si>
    <t>oqxA</t>
  </si>
  <si>
    <t>tigecycline; ciprofloxacin; nitrofurantoin; trimethoprim</t>
  </si>
  <si>
    <t>vanG</t>
  </si>
  <si>
    <t>ANT(2'')-Ia</t>
  </si>
  <si>
    <t>dibekacin; sisomicin; kanamycin A; tobramycin; gentamicin</t>
  </si>
  <si>
    <t>aadA2</t>
  </si>
  <si>
    <t>spectinomycin; streptomycin</t>
  </si>
  <si>
    <t>sul1</t>
  </si>
  <si>
    <t>sulfadiazine; sulfadimidine; sulfadoxine; sulfamethoxazole; sulfisoxazole; sulfacetamide; mafenide; sulfasalazine; sulfamethizole</t>
  </si>
  <si>
    <t>AbaQ</t>
  </si>
  <si>
    <t>soxR</t>
  </si>
  <si>
    <t>tigecycline; ciprofloxacin; acriflavine; tetracycline; rifampin; chloramphenicol; ampicillin; norfloxacin; cefalotin; triclosan</t>
  </si>
  <si>
    <t>LUT-1</t>
  </si>
  <si>
    <t>OXA-50</t>
  </si>
  <si>
    <t>cloxacillin; oxacillin; ampicillin; cefalotin</t>
  </si>
  <si>
    <t>FosA8</t>
  </si>
  <si>
    <t>YajC</t>
  </si>
  <si>
    <t>vancomycin; tigecycline; tetracycline; linezolid; rifampin; chloramphenicol; ampicillin; cefalotin; triclosan</t>
  </si>
  <si>
    <t>rox</t>
  </si>
  <si>
    <t>rifampin; rifaximin; rifapentine</t>
  </si>
  <si>
    <t>PER-6</t>
  </si>
  <si>
    <t>HelR</t>
  </si>
  <si>
    <t>rifampin; rifaximin; rifabutin</t>
  </si>
  <si>
    <t>RbpA</t>
  </si>
  <si>
    <t>rifampin; rifaximin; rifabutin; rifapentine</t>
  </si>
  <si>
    <t>OCH-6</t>
  </si>
  <si>
    <t>FosK</t>
  </si>
  <si>
    <t>tet(M)</t>
  </si>
  <si>
    <t>tetracycline; doxycycline; minocycline; chlortetracycline; demeclocycline; oxytetracycline</t>
  </si>
  <si>
    <t>msr(G)</t>
  </si>
  <si>
    <t>erythromycin; azithromycin</t>
  </si>
  <si>
    <t>aadA27</t>
  </si>
  <si>
    <t>ACT-109</t>
  </si>
  <si>
    <t>vanT</t>
  </si>
  <si>
    <t>qacEdelta1</t>
  </si>
  <si>
    <t>EF-Tu</t>
  </si>
  <si>
    <t>pulvomycin</t>
  </si>
  <si>
    <t>baeS</t>
  </si>
  <si>
    <t>neomycin; amikacin; kanamycin A; tobramycin; novobiocin; gentamicin</t>
  </si>
  <si>
    <t>SGM-6</t>
  </si>
  <si>
    <t>mphO</t>
  </si>
  <si>
    <t>SampleID</t>
    <phoneticPr fontId="1" type="noConversion"/>
  </si>
  <si>
    <t>APH(3″)-Ib</t>
    <phoneticPr fontId="1" type="noConversion"/>
  </si>
  <si>
    <t>ANT(2″)-Ia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</si>
</sst>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B69"/>
  <sheetViews>
    <sheetView topLeftCell="BL46" zoomScale="70" zoomScaleNormal="70" workbookViewId="0">
      <selection activeCell="BP68" sqref="A1:DB69"/>
    </sheetView>
  </sheetViews>
  <sheetFormatPr defaultColWidth="9" defaultRowHeight="14.4" x14ac:dyDescent="0.25"/>
  <cols>
    <col min="2" max="2" width="83.109375" customWidth="1"/>
  </cols>
  <sheetData>
    <row r="1" spans="1:106" x14ac:dyDescent="0.25">
      <c r="A1" t="s">
        <v>2</v>
      </c>
      <c r="B1" t="s">
        <v>4</v>
      </c>
      <c r="C1" t="s">
        <v>6</v>
      </c>
      <c r="D1" t="s">
        <v>9</v>
      </c>
      <c r="E1" t="s">
        <v>18</v>
      </c>
      <c r="F1" t="s">
        <v>19</v>
      </c>
      <c r="G1" t="s">
        <v>21</v>
      </c>
      <c r="H1" t="s">
        <v>22</v>
      </c>
      <c r="I1" t="s">
        <v>31</v>
      </c>
      <c r="J1" t="s">
        <v>33</v>
      </c>
      <c r="K1" t="s">
        <v>42</v>
      </c>
      <c r="L1" t="s">
        <v>43</v>
      </c>
      <c r="M1" t="s">
        <v>44</v>
      </c>
      <c r="N1" t="s">
        <v>46</v>
      </c>
      <c r="O1" t="s">
        <v>51</v>
      </c>
      <c r="P1" t="s">
        <v>52</v>
      </c>
      <c r="Q1" t="s">
        <v>55</v>
      </c>
      <c r="R1" t="s">
        <v>58</v>
      </c>
      <c r="S1" t="s">
        <v>62</v>
      </c>
      <c r="T1" t="s">
        <v>68</v>
      </c>
      <c r="U1" t="s">
        <v>70</v>
      </c>
      <c r="V1" t="s">
        <v>75</v>
      </c>
      <c r="W1" t="s">
        <v>79</v>
      </c>
      <c r="X1" t="s">
        <v>83</v>
      </c>
      <c r="Y1" t="s">
        <v>88</v>
      </c>
      <c r="Z1" t="s">
        <v>100</v>
      </c>
      <c r="AA1" t="s">
        <v>10</v>
      </c>
      <c r="AB1" t="s">
        <v>20</v>
      </c>
      <c r="AC1" t="s">
        <v>24</v>
      </c>
      <c r="AD1" t="s">
        <v>36</v>
      </c>
      <c r="AE1" t="s">
        <v>39</v>
      </c>
      <c r="AF1" t="s">
        <v>41</v>
      </c>
      <c r="AG1" t="s">
        <v>45</v>
      </c>
      <c r="AH1" t="s">
        <v>48</v>
      </c>
      <c r="AI1" t="s">
        <v>54</v>
      </c>
      <c r="AJ1" t="s">
        <v>56</v>
      </c>
      <c r="AK1" t="s">
        <v>59</v>
      </c>
      <c r="AL1" t="s">
        <v>61</v>
      </c>
      <c r="AM1" t="s">
        <v>64</v>
      </c>
      <c r="AN1" t="s">
        <v>66</v>
      </c>
      <c r="AO1" t="s">
        <v>71</v>
      </c>
      <c r="AP1" t="s">
        <v>85</v>
      </c>
      <c r="AQ1" t="s">
        <v>86</v>
      </c>
      <c r="AR1" t="s">
        <v>97</v>
      </c>
      <c r="AS1" t="s">
        <v>102</v>
      </c>
      <c r="AT1" t="s">
        <v>0</v>
      </c>
      <c r="AU1" t="s">
        <v>7</v>
      </c>
      <c r="AV1" t="s">
        <v>13</v>
      </c>
      <c r="AW1" t="s">
        <v>23</v>
      </c>
      <c r="AX1" t="s">
        <v>34</v>
      </c>
      <c r="AY1" t="s">
        <v>35</v>
      </c>
      <c r="AZ1" t="s">
        <v>37</v>
      </c>
      <c r="BA1" t="s">
        <v>38</v>
      </c>
      <c r="BB1" t="s">
        <v>40</v>
      </c>
      <c r="BC1" t="s">
        <v>47</v>
      </c>
      <c r="BD1" t="s">
        <v>49</v>
      </c>
      <c r="BE1" t="s">
        <v>63</v>
      </c>
      <c r="BF1" t="s">
        <v>65</v>
      </c>
      <c r="BG1" t="s">
        <v>69</v>
      </c>
      <c r="BH1" t="s">
        <v>76</v>
      </c>
      <c r="BI1" t="s">
        <v>81</v>
      </c>
      <c r="BJ1" t="s">
        <v>87</v>
      </c>
      <c r="BK1" t="s">
        <v>89</v>
      </c>
      <c r="BL1" t="s">
        <v>91</v>
      </c>
      <c r="BM1" t="s">
        <v>96</v>
      </c>
      <c r="BN1" t="s">
        <v>1</v>
      </c>
      <c r="BO1" t="s">
        <v>3</v>
      </c>
      <c r="BP1" t="s">
        <v>12</v>
      </c>
      <c r="BQ1" t="s">
        <v>14</v>
      </c>
      <c r="BR1" t="s">
        <v>15</v>
      </c>
      <c r="BS1" t="s">
        <v>27</v>
      </c>
      <c r="BT1" t="s">
        <v>32</v>
      </c>
      <c r="BU1" t="s">
        <v>57</v>
      </c>
      <c r="BV1" t="s">
        <v>73</v>
      </c>
      <c r="BW1" t="s">
        <v>77</v>
      </c>
      <c r="BX1" t="s">
        <v>78</v>
      </c>
      <c r="BY1" t="s">
        <v>80</v>
      </c>
      <c r="BZ1" t="s">
        <v>84</v>
      </c>
      <c r="CA1" t="s">
        <v>90</v>
      </c>
      <c r="CB1" t="s">
        <v>94</v>
      </c>
      <c r="CC1" t="s">
        <v>95</v>
      </c>
      <c r="CD1" t="s">
        <v>98</v>
      </c>
      <c r="CE1" t="s">
        <v>101</v>
      </c>
      <c r="CF1" t="s">
        <v>11</v>
      </c>
      <c r="CG1" t="s">
        <v>17</v>
      </c>
      <c r="CH1" t="s">
        <v>28</v>
      </c>
      <c r="CI1" t="s">
        <v>30</v>
      </c>
      <c r="CJ1" t="s">
        <v>60</v>
      </c>
      <c r="CK1" t="s">
        <v>72</v>
      </c>
      <c r="CL1" t="s">
        <v>82</v>
      </c>
      <c r="CM1" t="s">
        <v>99</v>
      </c>
      <c r="CN1" t="s">
        <v>8</v>
      </c>
      <c r="CO1" t="s">
        <v>74</v>
      </c>
      <c r="CP1" t="s">
        <v>5</v>
      </c>
      <c r="CQ1" t="s">
        <v>53</v>
      </c>
      <c r="CR1" t="s">
        <v>50</v>
      </c>
      <c r="CS1" t="s">
        <v>67</v>
      </c>
      <c r="CT1" t="s">
        <v>26</v>
      </c>
      <c r="CU1" t="s">
        <v>29</v>
      </c>
      <c r="CV1" t="s">
        <v>16</v>
      </c>
      <c r="CW1" t="s">
        <v>92</v>
      </c>
      <c r="CX1" t="s">
        <v>93</v>
      </c>
      <c r="CY1" t="s">
        <v>25</v>
      </c>
    </row>
    <row r="2" spans="1:10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1</v>
      </c>
      <c r="BW2">
        <v>2</v>
      </c>
      <c r="BX2">
        <v>0</v>
      </c>
      <c r="BY2">
        <v>0</v>
      </c>
      <c r="BZ2">
        <v>1</v>
      </c>
      <c r="CA2">
        <v>0</v>
      </c>
      <c r="CB2">
        <v>0</v>
      </c>
      <c r="CC2">
        <v>1</v>
      </c>
      <c r="CD2">
        <v>1</v>
      </c>
      <c r="CE2">
        <v>1</v>
      </c>
      <c r="CF2">
        <v>0</v>
      </c>
      <c r="CG2">
        <v>0</v>
      </c>
      <c r="CH2">
        <v>1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1</v>
      </c>
      <c r="CR2">
        <v>1</v>
      </c>
      <c r="CS2">
        <v>0</v>
      </c>
      <c r="CT2">
        <v>0</v>
      </c>
      <c r="CU2">
        <v>1</v>
      </c>
      <c r="CV2">
        <v>2</v>
      </c>
      <c r="CW2">
        <v>0</v>
      </c>
      <c r="CX2">
        <v>0</v>
      </c>
      <c r="CY2">
        <v>0</v>
      </c>
      <c r="CZ2" t="s">
        <v>103</v>
      </c>
      <c r="DA2" t="s">
        <v>104</v>
      </c>
      <c r="DB2">
        <f t="shared" ref="DB2:DB33" si="0">SUM(C2:DA2)</f>
        <v>23</v>
      </c>
    </row>
    <row r="3" spans="1:10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1</v>
      </c>
      <c r="BT3">
        <v>1</v>
      </c>
      <c r="BU3">
        <v>1</v>
      </c>
      <c r="BV3">
        <v>0</v>
      </c>
      <c r="BW3">
        <v>1</v>
      </c>
      <c r="BX3">
        <v>1</v>
      </c>
      <c r="BY3">
        <v>1</v>
      </c>
      <c r="BZ3">
        <v>0</v>
      </c>
      <c r="CA3">
        <v>1</v>
      </c>
      <c r="CB3">
        <v>1</v>
      </c>
      <c r="CC3">
        <v>0</v>
      </c>
      <c r="CD3">
        <v>0</v>
      </c>
      <c r="CE3">
        <v>0</v>
      </c>
      <c r="CF3">
        <v>0</v>
      </c>
      <c r="CG3">
        <v>1</v>
      </c>
      <c r="CH3">
        <v>1</v>
      </c>
      <c r="CI3">
        <v>1</v>
      </c>
      <c r="CJ3">
        <v>0</v>
      </c>
      <c r="CK3">
        <v>0</v>
      </c>
      <c r="CL3">
        <v>0</v>
      </c>
      <c r="CM3">
        <v>0</v>
      </c>
      <c r="CN3">
        <v>2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1</v>
      </c>
      <c r="CV3">
        <v>0</v>
      </c>
      <c r="CW3">
        <v>1</v>
      </c>
      <c r="CX3">
        <v>1</v>
      </c>
      <c r="CY3">
        <v>1</v>
      </c>
      <c r="CZ3" t="s">
        <v>105</v>
      </c>
      <c r="DA3" t="s">
        <v>106</v>
      </c>
      <c r="DB3">
        <f t="shared" si="0"/>
        <v>30</v>
      </c>
    </row>
    <row r="4" spans="1:10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 t="s">
        <v>107</v>
      </c>
      <c r="DA4" t="s">
        <v>108</v>
      </c>
      <c r="DB4">
        <f t="shared" si="0"/>
        <v>2</v>
      </c>
    </row>
    <row r="5" spans="1:10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 t="s">
        <v>109</v>
      </c>
      <c r="DA5" t="s">
        <v>110</v>
      </c>
      <c r="DB5">
        <f t="shared" si="0"/>
        <v>1</v>
      </c>
    </row>
    <row r="6" spans="1:106" x14ac:dyDescent="0.25">
      <c r="A6">
        <v>0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2</v>
      </c>
      <c r="AE6">
        <v>0</v>
      </c>
      <c r="AF6">
        <v>0</v>
      </c>
      <c r="AG6">
        <v>1</v>
      </c>
      <c r="AH6">
        <v>2</v>
      </c>
      <c r="AI6">
        <v>2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0</v>
      </c>
      <c r="AQ6">
        <v>1</v>
      </c>
      <c r="AR6">
        <v>1</v>
      </c>
      <c r="AS6">
        <v>1</v>
      </c>
      <c r="AT6">
        <v>0</v>
      </c>
      <c r="AU6">
        <v>3</v>
      </c>
      <c r="AV6">
        <v>2</v>
      </c>
      <c r="AW6">
        <v>2</v>
      </c>
      <c r="AX6">
        <v>1</v>
      </c>
      <c r="AY6">
        <v>0</v>
      </c>
      <c r="AZ6">
        <v>1</v>
      </c>
      <c r="BA6">
        <v>1</v>
      </c>
      <c r="BB6">
        <v>2</v>
      </c>
      <c r="BC6">
        <v>2</v>
      </c>
      <c r="BD6">
        <v>0</v>
      </c>
      <c r="BE6">
        <v>2</v>
      </c>
      <c r="BF6">
        <v>1</v>
      </c>
      <c r="BG6">
        <v>2</v>
      </c>
      <c r="BH6">
        <v>0</v>
      </c>
      <c r="BI6">
        <v>1</v>
      </c>
      <c r="BJ6">
        <v>1</v>
      </c>
      <c r="BK6">
        <v>2</v>
      </c>
      <c r="BL6">
        <v>2</v>
      </c>
      <c r="BM6">
        <v>1</v>
      </c>
      <c r="BN6">
        <v>3</v>
      </c>
      <c r="BO6">
        <v>3</v>
      </c>
      <c r="BP6">
        <v>2</v>
      </c>
      <c r="BQ6">
        <v>2</v>
      </c>
      <c r="BR6">
        <v>2</v>
      </c>
      <c r="BS6">
        <v>2</v>
      </c>
      <c r="BT6">
        <v>2</v>
      </c>
      <c r="BU6">
        <v>3</v>
      </c>
      <c r="BV6">
        <v>3</v>
      </c>
      <c r="BW6">
        <v>1</v>
      </c>
      <c r="BX6">
        <v>2</v>
      </c>
      <c r="BY6">
        <v>2</v>
      </c>
      <c r="BZ6">
        <v>3</v>
      </c>
      <c r="CA6">
        <v>2</v>
      </c>
      <c r="CB6">
        <v>3</v>
      </c>
      <c r="CC6">
        <v>2</v>
      </c>
      <c r="CD6">
        <v>3</v>
      </c>
      <c r="CE6">
        <v>2</v>
      </c>
      <c r="CF6">
        <v>3</v>
      </c>
      <c r="CG6">
        <v>2</v>
      </c>
      <c r="CH6">
        <v>3</v>
      </c>
      <c r="CI6">
        <v>2</v>
      </c>
      <c r="CJ6">
        <v>3</v>
      </c>
      <c r="CK6">
        <v>4</v>
      </c>
      <c r="CL6">
        <v>3</v>
      </c>
      <c r="CM6">
        <v>3</v>
      </c>
      <c r="CN6">
        <v>0</v>
      </c>
      <c r="CO6">
        <v>4</v>
      </c>
      <c r="CP6">
        <v>6</v>
      </c>
      <c r="CQ6">
        <v>0</v>
      </c>
      <c r="CR6">
        <v>0</v>
      </c>
      <c r="CS6">
        <v>0</v>
      </c>
      <c r="CT6">
        <v>3</v>
      </c>
      <c r="CU6">
        <v>2</v>
      </c>
      <c r="CV6">
        <v>0</v>
      </c>
      <c r="CW6">
        <v>2</v>
      </c>
      <c r="CX6">
        <v>1</v>
      </c>
      <c r="CY6">
        <v>2</v>
      </c>
      <c r="CZ6" t="s">
        <v>111</v>
      </c>
      <c r="DA6" t="s">
        <v>112</v>
      </c>
      <c r="DB6">
        <f t="shared" si="0"/>
        <v>135</v>
      </c>
    </row>
    <row r="7" spans="1:106" x14ac:dyDescent="0.2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1</v>
      </c>
      <c r="CZ7" t="s">
        <v>113</v>
      </c>
      <c r="DA7" t="s">
        <v>114</v>
      </c>
      <c r="DB7">
        <f t="shared" si="0"/>
        <v>2</v>
      </c>
    </row>
    <row r="8" spans="1:10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 t="s">
        <v>115</v>
      </c>
      <c r="DA8" t="s">
        <v>116</v>
      </c>
      <c r="DB8">
        <f t="shared" si="0"/>
        <v>1</v>
      </c>
    </row>
    <row r="9" spans="1:10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1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1</v>
      </c>
      <c r="AY9">
        <v>0</v>
      </c>
      <c r="AZ9">
        <v>1</v>
      </c>
      <c r="BA9">
        <v>0</v>
      </c>
      <c r="BB9">
        <v>1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1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2</v>
      </c>
      <c r="CG9">
        <v>1</v>
      </c>
      <c r="CH9">
        <v>0</v>
      </c>
      <c r="CI9">
        <v>0</v>
      </c>
      <c r="CJ9">
        <v>1</v>
      </c>
      <c r="CK9">
        <v>1</v>
      </c>
      <c r="CL9">
        <v>1</v>
      </c>
      <c r="CM9">
        <v>1</v>
      </c>
      <c r="CN9">
        <v>0</v>
      </c>
      <c r="CO9">
        <v>1</v>
      </c>
      <c r="CP9">
        <v>1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t="s">
        <v>117</v>
      </c>
      <c r="DA9" t="s">
        <v>104</v>
      </c>
      <c r="DB9">
        <f t="shared" si="0"/>
        <v>28</v>
      </c>
    </row>
    <row r="10" spans="1:106" x14ac:dyDescent="0.25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1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0</v>
      </c>
      <c r="CX10">
        <v>0</v>
      </c>
      <c r="CY10">
        <v>0</v>
      </c>
      <c r="CZ10" t="s">
        <v>118</v>
      </c>
      <c r="DA10" t="s">
        <v>119</v>
      </c>
      <c r="DB10">
        <f t="shared" si="0"/>
        <v>9</v>
      </c>
    </row>
    <row r="11" spans="1:10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t="s">
        <v>120</v>
      </c>
      <c r="DA11" t="s">
        <v>121</v>
      </c>
      <c r="DB11">
        <f t="shared" si="0"/>
        <v>1</v>
      </c>
    </row>
    <row r="12" spans="1:10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1</v>
      </c>
      <c r="CY12">
        <v>1</v>
      </c>
      <c r="CZ12" t="s">
        <v>122</v>
      </c>
      <c r="DA12" t="s">
        <v>123</v>
      </c>
      <c r="DB12">
        <f t="shared" si="0"/>
        <v>4</v>
      </c>
    </row>
    <row r="13" spans="1:10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 t="s">
        <v>124</v>
      </c>
      <c r="DA13" t="s">
        <v>125</v>
      </c>
      <c r="DB13">
        <f t="shared" si="0"/>
        <v>1</v>
      </c>
    </row>
    <row r="14" spans="1:10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1</v>
      </c>
      <c r="CZ14" t="s">
        <v>126</v>
      </c>
      <c r="DA14" t="s">
        <v>127</v>
      </c>
      <c r="DB14">
        <f t="shared" si="0"/>
        <v>4</v>
      </c>
    </row>
    <row r="15" spans="1:10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 t="s">
        <v>128</v>
      </c>
      <c r="DA15" t="s">
        <v>129</v>
      </c>
      <c r="DB15">
        <f t="shared" si="0"/>
        <v>1</v>
      </c>
    </row>
    <row r="16" spans="1:10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t="s">
        <v>130</v>
      </c>
      <c r="DA16" t="s">
        <v>129</v>
      </c>
      <c r="DB16">
        <f t="shared" si="0"/>
        <v>1</v>
      </c>
    </row>
    <row r="17" spans="1:10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 t="s">
        <v>131</v>
      </c>
      <c r="DA17" t="s">
        <v>116</v>
      </c>
      <c r="DB17">
        <f t="shared" si="0"/>
        <v>2</v>
      </c>
    </row>
    <row r="18" spans="1:10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 t="s">
        <v>132</v>
      </c>
      <c r="DA18" t="s">
        <v>129</v>
      </c>
      <c r="DB18">
        <f t="shared" si="0"/>
        <v>1</v>
      </c>
    </row>
    <row r="19" spans="1:10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 t="s">
        <v>133</v>
      </c>
      <c r="DA19" t="s">
        <v>134</v>
      </c>
      <c r="DB19">
        <f t="shared" si="0"/>
        <v>1</v>
      </c>
    </row>
    <row r="20" spans="1:10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2</v>
      </c>
      <c r="BE20">
        <v>0</v>
      </c>
      <c r="BF20">
        <v>0</v>
      </c>
      <c r="BG20">
        <v>0</v>
      </c>
      <c r="BH20">
        <v>3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4</v>
      </c>
      <c r="CR20">
        <v>6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0</v>
      </c>
      <c r="CZ20" t="s">
        <v>135</v>
      </c>
      <c r="DA20" t="s">
        <v>119</v>
      </c>
      <c r="DB20">
        <f t="shared" si="0"/>
        <v>20</v>
      </c>
    </row>
    <row r="21" spans="1:10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0</v>
      </c>
      <c r="CZ21" t="s">
        <v>136</v>
      </c>
      <c r="DA21" t="s">
        <v>137</v>
      </c>
      <c r="DB21">
        <f t="shared" si="0"/>
        <v>1</v>
      </c>
    </row>
    <row r="22" spans="1:10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 t="s">
        <v>138</v>
      </c>
      <c r="DA22" t="s">
        <v>112</v>
      </c>
      <c r="DB22">
        <f t="shared" si="0"/>
        <v>2</v>
      </c>
    </row>
    <row r="23" spans="1:10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 t="s">
        <v>139</v>
      </c>
      <c r="DA23" t="s">
        <v>140</v>
      </c>
      <c r="DB23">
        <f t="shared" si="0"/>
        <v>1</v>
      </c>
    </row>
    <row r="24" spans="1:10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CZ24" t="s">
        <v>141</v>
      </c>
      <c r="DA24" t="s">
        <v>140</v>
      </c>
      <c r="DB24">
        <f t="shared" si="0"/>
        <v>2</v>
      </c>
    </row>
    <row r="25" spans="1:10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0</v>
      </c>
      <c r="CZ25" t="s">
        <v>142</v>
      </c>
      <c r="DA25" t="s">
        <v>134</v>
      </c>
      <c r="DB25">
        <f t="shared" si="0"/>
        <v>1</v>
      </c>
    </row>
    <row r="26" spans="1:10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 t="s">
        <v>143</v>
      </c>
      <c r="DA26" t="s">
        <v>144</v>
      </c>
      <c r="DB26">
        <f t="shared" si="0"/>
        <v>1</v>
      </c>
    </row>
    <row r="27" spans="1:10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s">
        <v>145</v>
      </c>
      <c r="DA27" t="s">
        <v>112</v>
      </c>
      <c r="DB27">
        <f t="shared" si="0"/>
        <v>1</v>
      </c>
    </row>
    <row r="28" spans="1:106" x14ac:dyDescent="0.25">
      <c r="A28">
        <v>0</v>
      </c>
      <c r="B28">
        <v>0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 t="s">
        <v>146</v>
      </c>
      <c r="DA28" t="s">
        <v>119</v>
      </c>
      <c r="DB28">
        <f t="shared" si="0"/>
        <v>9</v>
      </c>
    </row>
    <row r="29" spans="1:10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 t="s">
        <v>147</v>
      </c>
      <c r="DA29" t="s">
        <v>148</v>
      </c>
      <c r="DB29">
        <f t="shared" si="0"/>
        <v>3</v>
      </c>
    </row>
    <row r="30" spans="1:10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 t="s">
        <v>149</v>
      </c>
      <c r="DA30" t="s">
        <v>150</v>
      </c>
      <c r="DB30">
        <f t="shared" si="0"/>
        <v>2</v>
      </c>
    </row>
    <row r="31" spans="1:10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1</v>
      </c>
      <c r="CZ31" t="s">
        <v>151</v>
      </c>
      <c r="DA31" t="s">
        <v>150</v>
      </c>
      <c r="DB31">
        <f t="shared" si="0"/>
        <v>2</v>
      </c>
    </row>
    <row r="32" spans="1:10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1</v>
      </c>
      <c r="CZ32" t="s">
        <v>152</v>
      </c>
      <c r="DA32" t="s">
        <v>153</v>
      </c>
      <c r="DB32">
        <f t="shared" si="0"/>
        <v>2</v>
      </c>
    </row>
    <row r="33" spans="1:10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1</v>
      </c>
      <c r="CY33">
        <v>1</v>
      </c>
      <c r="CZ33" t="s">
        <v>154</v>
      </c>
      <c r="DA33" t="s">
        <v>155</v>
      </c>
      <c r="DB33">
        <f t="shared" si="0"/>
        <v>3</v>
      </c>
    </row>
    <row r="34" spans="1:10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1</v>
      </c>
      <c r="CZ34" t="s">
        <v>156</v>
      </c>
      <c r="DA34" t="s">
        <v>155</v>
      </c>
      <c r="DB34">
        <f t="shared" ref="DB34:DB65" si="1">SUM(C34:DA34)</f>
        <v>2</v>
      </c>
    </row>
    <row r="35" spans="1:10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 t="s">
        <v>157</v>
      </c>
      <c r="DA35" t="s">
        <v>158</v>
      </c>
      <c r="DB35">
        <f t="shared" si="1"/>
        <v>1</v>
      </c>
    </row>
    <row r="36" spans="1:10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 t="s">
        <v>159</v>
      </c>
      <c r="DA36" t="s">
        <v>160</v>
      </c>
      <c r="DB36">
        <f t="shared" si="1"/>
        <v>1</v>
      </c>
    </row>
    <row r="37" spans="1:10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1</v>
      </c>
      <c r="CY37">
        <v>1</v>
      </c>
      <c r="CZ37" t="s">
        <v>161</v>
      </c>
      <c r="DA37" t="s">
        <v>162</v>
      </c>
      <c r="DB37">
        <f t="shared" si="1"/>
        <v>3</v>
      </c>
    </row>
    <row r="38" spans="1:10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1</v>
      </c>
      <c r="CY38">
        <v>1</v>
      </c>
      <c r="CZ38" t="s">
        <v>163</v>
      </c>
      <c r="DA38" t="s">
        <v>162</v>
      </c>
      <c r="DB38">
        <f t="shared" si="1"/>
        <v>3</v>
      </c>
    </row>
    <row r="39" spans="1:10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 t="s">
        <v>164</v>
      </c>
      <c r="DA39" t="s">
        <v>165</v>
      </c>
      <c r="DB39">
        <f t="shared" si="1"/>
        <v>2</v>
      </c>
    </row>
    <row r="40" spans="1:10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1</v>
      </c>
      <c r="CZ40" t="s">
        <v>166</v>
      </c>
      <c r="DA40" t="s">
        <v>167</v>
      </c>
      <c r="DB40">
        <f t="shared" si="1"/>
        <v>2</v>
      </c>
    </row>
    <row r="41" spans="1:10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 t="s">
        <v>168</v>
      </c>
      <c r="DA41" t="s">
        <v>169</v>
      </c>
      <c r="DB41">
        <f t="shared" si="1"/>
        <v>2</v>
      </c>
    </row>
    <row r="42" spans="1:10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 t="s">
        <v>170</v>
      </c>
      <c r="DA42" t="s">
        <v>171</v>
      </c>
      <c r="DB42">
        <f t="shared" si="1"/>
        <v>1</v>
      </c>
    </row>
    <row r="43" spans="1:10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1</v>
      </c>
      <c r="CU43">
        <v>1</v>
      </c>
      <c r="CV43">
        <v>0</v>
      </c>
      <c r="CW43">
        <v>1</v>
      </c>
      <c r="CX43">
        <v>0</v>
      </c>
      <c r="CY43">
        <v>1</v>
      </c>
      <c r="CZ43" t="s">
        <v>172</v>
      </c>
      <c r="DA43" t="s">
        <v>119</v>
      </c>
      <c r="DB43">
        <f t="shared" si="1"/>
        <v>5</v>
      </c>
    </row>
    <row r="44" spans="1:10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 t="s">
        <v>173</v>
      </c>
      <c r="DA44" t="s">
        <v>174</v>
      </c>
      <c r="DB44">
        <f t="shared" si="1"/>
        <v>1</v>
      </c>
    </row>
    <row r="45" spans="1:10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 t="s">
        <v>175</v>
      </c>
      <c r="DA45" t="s">
        <v>176</v>
      </c>
      <c r="DB45">
        <f t="shared" si="1"/>
        <v>1</v>
      </c>
    </row>
    <row r="46" spans="1:10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1</v>
      </c>
      <c r="CX46">
        <v>0</v>
      </c>
      <c r="CY46">
        <v>0</v>
      </c>
      <c r="CZ46" t="s">
        <v>177</v>
      </c>
      <c r="DA46" t="s">
        <v>178</v>
      </c>
      <c r="DB46">
        <f t="shared" si="1"/>
        <v>2</v>
      </c>
    </row>
    <row r="47" spans="1:10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1</v>
      </c>
      <c r="CV47">
        <v>0</v>
      </c>
      <c r="CW47">
        <v>0</v>
      </c>
      <c r="CX47">
        <v>0</v>
      </c>
      <c r="CY47">
        <v>0</v>
      </c>
      <c r="CZ47" t="s">
        <v>179</v>
      </c>
      <c r="DA47" t="s">
        <v>110</v>
      </c>
      <c r="DB47">
        <f t="shared" si="1"/>
        <v>3</v>
      </c>
    </row>
    <row r="48" spans="1:10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 t="s">
        <v>180</v>
      </c>
      <c r="DA48" t="s">
        <v>181</v>
      </c>
      <c r="DB48">
        <f t="shared" si="1"/>
        <v>3</v>
      </c>
    </row>
    <row r="49" spans="1:10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 t="s">
        <v>182</v>
      </c>
      <c r="DA49" t="s">
        <v>110</v>
      </c>
      <c r="DB49">
        <f t="shared" si="1"/>
        <v>1</v>
      </c>
    </row>
    <row r="50" spans="1:10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0</v>
      </c>
      <c r="CX50">
        <v>0</v>
      </c>
      <c r="CY50">
        <v>0</v>
      </c>
      <c r="CZ50" t="s">
        <v>183</v>
      </c>
      <c r="DA50" t="s">
        <v>184</v>
      </c>
      <c r="DB50">
        <f t="shared" si="1"/>
        <v>1</v>
      </c>
    </row>
    <row r="51" spans="1:10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1</v>
      </c>
      <c r="CS51">
        <v>0</v>
      </c>
      <c r="CT51">
        <v>0</v>
      </c>
      <c r="CU51">
        <v>1</v>
      </c>
      <c r="CV51">
        <v>0</v>
      </c>
      <c r="CW51">
        <v>0</v>
      </c>
      <c r="CX51">
        <v>1</v>
      </c>
      <c r="CY51">
        <v>0</v>
      </c>
      <c r="CZ51" t="s">
        <v>185</v>
      </c>
      <c r="DA51" t="s">
        <v>160</v>
      </c>
      <c r="DB51">
        <f t="shared" si="1"/>
        <v>4</v>
      </c>
    </row>
    <row r="52" spans="1:10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 t="s">
        <v>186</v>
      </c>
      <c r="DA52" t="s">
        <v>187</v>
      </c>
      <c r="DB52">
        <f t="shared" si="1"/>
        <v>1</v>
      </c>
    </row>
    <row r="53" spans="1:10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 t="s">
        <v>188</v>
      </c>
      <c r="DA53" t="s">
        <v>189</v>
      </c>
      <c r="DB53">
        <f t="shared" si="1"/>
        <v>2</v>
      </c>
    </row>
    <row r="54" spans="1:10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 t="s">
        <v>190</v>
      </c>
      <c r="DA54" t="s">
        <v>110</v>
      </c>
      <c r="DB54">
        <f t="shared" si="1"/>
        <v>1</v>
      </c>
    </row>
    <row r="55" spans="1:10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 t="s">
        <v>191</v>
      </c>
      <c r="DA55" t="s">
        <v>192</v>
      </c>
      <c r="DB55">
        <f t="shared" si="1"/>
        <v>1</v>
      </c>
    </row>
    <row r="56" spans="1:10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 t="s">
        <v>193</v>
      </c>
      <c r="DA56" t="s">
        <v>194</v>
      </c>
      <c r="DB56">
        <f t="shared" si="1"/>
        <v>1</v>
      </c>
    </row>
    <row r="57" spans="1:10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 t="s">
        <v>195</v>
      </c>
      <c r="DA57" t="s">
        <v>110</v>
      </c>
      <c r="DB57">
        <f t="shared" si="1"/>
        <v>1</v>
      </c>
    </row>
    <row r="58" spans="1:10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 t="s">
        <v>196</v>
      </c>
      <c r="DA58" t="s">
        <v>160</v>
      </c>
      <c r="DB58">
        <f t="shared" si="1"/>
        <v>1</v>
      </c>
    </row>
    <row r="59" spans="1:10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2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 t="s">
        <v>197</v>
      </c>
      <c r="DA59" t="s">
        <v>198</v>
      </c>
      <c r="DB59">
        <f t="shared" si="1"/>
        <v>2</v>
      </c>
    </row>
    <row r="60" spans="1:10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t="s">
        <v>199</v>
      </c>
      <c r="DA60" t="s">
        <v>200</v>
      </c>
      <c r="DB60">
        <f t="shared" si="1"/>
        <v>1</v>
      </c>
    </row>
    <row r="61" spans="1:10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 t="s">
        <v>201</v>
      </c>
      <c r="DA61" t="s">
        <v>176</v>
      </c>
      <c r="DB61">
        <f t="shared" si="1"/>
        <v>1</v>
      </c>
    </row>
    <row r="62" spans="1:10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 t="s">
        <v>202</v>
      </c>
      <c r="DA62" t="s">
        <v>110</v>
      </c>
      <c r="DB62">
        <f t="shared" si="1"/>
        <v>1</v>
      </c>
    </row>
    <row r="63" spans="1:10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 t="s">
        <v>203</v>
      </c>
      <c r="DA63" t="s">
        <v>119</v>
      </c>
      <c r="DB63">
        <f t="shared" si="1"/>
        <v>1</v>
      </c>
    </row>
    <row r="64" spans="1:10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0</v>
      </c>
      <c r="CZ64" t="s">
        <v>204</v>
      </c>
      <c r="DA64" t="s">
        <v>110</v>
      </c>
      <c r="DB64">
        <f t="shared" si="1"/>
        <v>1</v>
      </c>
    </row>
    <row r="65" spans="1:10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0</v>
      </c>
      <c r="CZ65" t="s">
        <v>205</v>
      </c>
      <c r="DA65" t="s">
        <v>206</v>
      </c>
      <c r="DB65">
        <f t="shared" si="1"/>
        <v>1</v>
      </c>
    </row>
    <row r="66" spans="1:10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 t="s">
        <v>207</v>
      </c>
      <c r="DA66" t="s">
        <v>208</v>
      </c>
      <c r="DB66">
        <f t="shared" ref="DB66:DB97" si="2">SUM(C66:DA66)</f>
        <v>1</v>
      </c>
    </row>
    <row r="67" spans="1:10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 t="s">
        <v>209</v>
      </c>
      <c r="DA67" t="s">
        <v>110</v>
      </c>
      <c r="DB67">
        <f t="shared" si="2"/>
        <v>1</v>
      </c>
    </row>
    <row r="68" spans="1:10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 t="s">
        <v>210</v>
      </c>
      <c r="DA68" t="s">
        <v>134</v>
      </c>
      <c r="DB68">
        <f t="shared" si="2"/>
        <v>1</v>
      </c>
    </row>
    <row r="69" spans="1:106" x14ac:dyDescent="0.25">
      <c r="A69">
        <f t="shared" ref="A69:AF69" si="3">SUM(A2:A68)</f>
        <v>1</v>
      </c>
      <c r="B69">
        <f t="shared" si="3"/>
        <v>1</v>
      </c>
      <c r="C69">
        <f t="shared" si="3"/>
        <v>1</v>
      </c>
      <c r="D69">
        <f t="shared" si="3"/>
        <v>1</v>
      </c>
      <c r="E69">
        <f t="shared" si="3"/>
        <v>1</v>
      </c>
      <c r="F69">
        <f t="shared" si="3"/>
        <v>1</v>
      </c>
      <c r="G69">
        <f t="shared" si="3"/>
        <v>1</v>
      </c>
      <c r="H69">
        <f t="shared" si="3"/>
        <v>1</v>
      </c>
      <c r="I69">
        <f t="shared" si="3"/>
        <v>1</v>
      </c>
      <c r="J69">
        <f t="shared" si="3"/>
        <v>1</v>
      </c>
      <c r="K69">
        <f t="shared" si="3"/>
        <v>1</v>
      </c>
      <c r="L69">
        <f t="shared" si="3"/>
        <v>1</v>
      </c>
      <c r="M69">
        <f t="shared" si="3"/>
        <v>1</v>
      </c>
      <c r="N69">
        <f t="shared" si="3"/>
        <v>1</v>
      </c>
      <c r="O69">
        <f t="shared" si="3"/>
        <v>1</v>
      </c>
      <c r="P69">
        <f t="shared" si="3"/>
        <v>1</v>
      </c>
      <c r="Q69">
        <f t="shared" si="3"/>
        <v>1</v>
      </c>
      <c r="R69">
        <f t="shared" si="3"/>
        <v>1</v>
      </c>
      <c r="S69">
        <f t="shared" si="3"/>
        <v>1</v>
      </c>
      <c r="T69">
        <f t="shared" si="3"/>
        <v>1</v>
      </c>
      <c r="U69">
        <f t="shared" si="3"/>
        <v>1</v>
      </c>
      <c r="V69">
        <f t="shared" si="3"/>
        <v>1</v>
      </c>
      <c r="W69">
        <f t="shared" si="3"/>
        <v>1</v>
      </c>
      <c r="X69">
        <f t="shared" si="3"/>
        <v>1</v>
      </c>
      <c r="Y69">
        <f t="shared" si="3"/>
        <v>1</v>
      </c>
      <c r="Z69">
        <f t="shared" si="3"/>
        <v>1</v>
      </c>
      <c r="AA69">
        <f t="shared" si="3"/>
        <v>2</v>
      </c>
      <c r="AB69">
        <f t="shared" si="3"/>
        <v>2</v>
      </c>
      <c r="AC69">
        <f t="shared" si="3"/>
        <v>2</v>
      </c>
      <c r="AD69">
        <f t="shared" si="3"/>
        <v>2</v>
      </c>
      <c r="AE69">
        <f t="shared" si="3"/>
        <v>2</v>
      </c>
      <c r="AF69">
        <f t="shared" si="3"/>
        <v>2</v>
      </c>
      <c r="AG69">
        <f t="shared" ref="AG69:BL69" si="4">SUM(AG2:AG68)</f>
        <v>2</v>
      </c>
      <c r="AH69">
        <f t="shared" si="4"/>
        <v>2</v>
      </c>
      <c r="AI69">
        <f t="shared" si="4"/>
        <v>2</v>
      </c>
      <c r="AJ69">
        <f t="shared" si="4"/>
        <v>2</v>
      </c>
      <c r="AK69">
        <f t="shared" si="4"/>
        <v>2</v>
      </c>
      <c r="AL69">
        <f t="shared" si="4"/>
        <v>2</v>
      </c>
      <c r="AM69">
        <f t="shared" si="4"/>
        <v>2</v>
      </c>
      <c r="AN69">
        <f t="shared" si="4"/>
        <v>2</v>
      </c>
      <c r="AO69">
        <f t="shared" si="4"/>
        <v>2</v>
      </c>
      <c r="AP69">
        <f t="shared" si="4"/>
        <v>2</v>
      </c>
      <c r="AQ69">
        <f t="shared" si="4"/>
        <v>2</v>
      </c>
      <c r="AR69">
        <f t="shared" si="4"/>
        <v>2</v>
      </c>
      <c r="AS69">
        <f t="shared" si="4"/>
        <v>2</v>
      </c>
      <c r="AT69">
        <f t="shared" si="4"/>
        <v>3</v>
      </c>
      <c r="AU69">
        <f t="shared" si="4"/>
        <v>3</v>
      </c>
      <c r="AV69">
        <f t="shared" si="4"/>
        <v>3</v>
      </c>
      <c r="AW69">
        <f t="shared" si="4"/>
        <v>3</v>
      </c>
      <c r="AX69">
        <f t="shared" si="4"/>
        <v>3</v>
      </c>
      <c r="AY69">
        <f t="shared" si="4"/>
        <v>3</v>
      </c>
      <c r="AZ69">
        <f t="shared" si="4"/>
        <v>3</v>
      </c>
      <c r="BA69">
        <f t="shared" si="4"/>
        <v>3</v>
      </c>
      <c r="BB69">
        <f t="shared" si="4"/>
        <v>3</v>
      </c>
      <c r="BC69">
        <f t="shared" si="4"/>
        <v>3</v>
      </c>
      <c r="BD69">
        <f t="shared" si="4"/>
        <v>3</v>
      </c>
      <c r="BE69">
        <f t="shared" si="4"/>
        <v>3</v>
      </c>
      <c r="BF69">
        <f t="shared" si="4"/>
        <v>3</v>
      </c>
      <c r="BG69">
        <f t="shared" si="4"/>
        <v>3</v>
      </c>
      <c r="BH69">
        <f t="shared" si="4"/>
        <v>3</v>
      </c>
      <c r="BI69">
        <f t="shared" si="4"/>
        <v>3</v>
      </c>
      <c r="BJ69">
        <f t="shared" si="4"/>
        <v>3</v>
      </c>
      <c r="BK69">
        <f t="shared" si="4"/>
        <v>3</v>
      </c>
      <c r="BL69">
        <f t="shared" si="4"/>
        <v>3</v>
      </c>
      <c r="BM69">
        <f t="shared" ref="BM69:CR69" si="5">SUM(BM2:BM68)</f>
        <v>3</v>
      </c>
      <c r="BN69">
        <f t="shared" si="5"/>
        <v>4</v>
      </c>
      <c r="BO69">
        <f t="shared" si="5"/>
        <v>4</v>
      </c>
      <c r="BP69">
        <f t="shared" si="5"/>
        <v>4</v>
      </c>
      <c r="BQ69">
        <f t="shared" si="5"/>
        <v>4</v>
      </c>
      <c r="BR69">
        <f t="shared" si="5"/>
        <v>4</v>
      </c>
      <c r="BS69">
        <f t="shared" si="5"/>
        <v>4</v>
      </c>
      <c r="BT69">
        <f t="shared" si="5"/>
        <v>4</v>
      </c>
      <c r="BU69">
        <f t="shared" si="5"/>
        <v>4</v>
      </c>
      <c r="BV69">
        <f t="shared" si="5"/>
        <v>4</v>
      </c>
      <c r="BW69">
        <f t="shared" si="5"/>
        <v>4</v>
      </c>
      <c r="BX69">
        <f t="shared" si="5"/>
        <v>4</v>
      </c>
      <c r="BY69">
        <f t="shared" si="5"/>
        <v>4</v>
      </c>
      <c r="BZ69">
        <f t="shared" si="5"/>
        <v>4</v>
      </c>
      <c r="CA69">
        <f t="shared" si="5"/>
        <v>4</v>
      </c>
      <c r="CB69">
        <f t="shared" si="5"/>
        <v>4</v>
      </c>
      <c r="CC69">
        <f t="shared" si="5"/>
        <v>4</v>
      </c>
      <c r="CD69">
        <f t="shared" si="5"/>
        <v>4</v>
      </c>
      <c r="CE69">
        <f t="shared" si="5"/>
        <v>4</v>
      </c>
      <c r="CF69">
        <f t="shared" si="5"/>
        <v>5</v>
      </c>
      <c r="CG69">
        <f t="shared" si="5"/>
        <v>5</v>
      </c>
      <c r="CH69">
        <f t="shared" si="5"/>
        <v>5</v>
      </c>
      <c r="CI69">
        <f t="shared" si="5"/>
        <v>5</v>
      </c>
      <c r="CJ69">
        <f t="shared" si="5"/>
        <v>5</v>
      </c>
      <c r="CK69">
        <f t="shared" si="5"/>
        <v>5</v>
      </c>
      <c r="CL69">
        <f t="shared" si="5"/>
        <v>5</v>
      </c>
      <c r="CM69">
        <f t="shared" si="5"/>
        <v>5</v>
      </c>
      <c r="CN69">
        <f t="shared" si="5"/>
        <v>6</v>
      </c>
      <c r="CO69">
        <f t="shared" si="5"/>
        <v>6</v>
      </c>
      <c r="CP69">
        <f t="shared" si="5"/>
        <v>7</v>
      </c>
      <c r="CQ69">
        <f t="shared" si="5"/>
        <v>7</v>
      </c>
      <c r="CR69">
        <f t="shared" si="5"/>
        <v>9</v>
      </c>
      <c r="CS69">
        <f t="shared" ref="CS69:DX69" si="6">SUM(CS2:CS68)</f>
        <v>9</v>
      </c>
      <c r="CT69">
        <f t="shared" si="6"/>
        <v>10</v>
      </c>
      <c r="CU69">
        <f t="shared" si="6"/>
        <v>10</v>
      </c>
      <c r="CV69">
        <f t="shared" si="6"/>
        <v>11</v>
      </c>
      <c r="CW69">
        <f t="shared" si="6"/>
        <v>11</v>
      </c>
      <c r="CX69">
        <f t="shared" si="6"/>
        <v>13</v>
      </c>
      <c r="CY69">
        <f t="shared" si="6"/>
        <v>21</v>
      </c>
    </row>
  </sheetData>
  <sortState xmlns:xlrd2="http://schemas.microsoft.com/office/spreadsheetml/2017/richdata2" columnSort="1" ref="A1:DB69">
    <sortCondition ref="A69:DB69"/>
  </sortState>
  <phoneticPr fontId="1" type="noConversion"/>
  <conditionalFormatting sqref="C2:DA68">
    <cfRule type="colorScale" priority="1">
      <colorScale>
        <cfvo type="min"/>
        <cfvo type="percentile" val="50"/>
        <cfvo type="max"/>
        <color rgb="FF0070C0"/>
        <color rgb="FFFFEB84"/>
        <color theme="9" tint="-0.249977111117893"/>
      </colorScale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G69"/>
  <sheetViews>
    <sheetView topLeftCell="A22" workbookViewId="0">
      <selection activeCell="I67" sqref="A1:BG69"/>
    </sheetView>
  </sheetViews>
  <sheetFormatPr defaultColWidth="9" defaultRowHeight="14.4" x14ac:dyDescent="0.25"/>
  <sheetData>
    <row r="1" spans="1:59" x14ac:dyDescent="0.25">
      <c r="A1" s="1" t="s">
        <v>211</v>
      </c>
      <c r="B1" t="s">
        <v>0</v>
      </c>
      <c r="C1" t="s">
        <v>7</v>
      </c>
      <c r="D1" t="s">
        <v>13</v>
      </c>
      <c r="E1" t="s">
        <v>23</v>
      </c>
      <c r="F1" t="s">
        <v>34</v>
      </c>
      <c r="G1" t="s">
        <v>35</v>
      </c>
      <c r="H1" t="s">
        <v>37</v>
      </c>
      <c r="I1" t="s">
        <v>38</v>
      </c>
      <c r="J1" t="s">
        <v>40</v>
      </c>
      <c r="K1" t="s">
        <v>47</v>
      </c>
      <c r="L1" t="s">
        <v>49</v>
      </c>
      <c r="M1" t="s">
        <v>63</v>
      </c>
      <c r="N1" t="s">
        <v>65</v>
      </c>
      <c r="O1" t="s">
        <v>69</v>
      </c>
      <c r="P1" t="s">
        <v>76</v>
      </c>
      <c r="Q1" t="s">
        <v>81</v>
      </c>
      <c r="R1" t="s">
        <v>87</v>
      </c>
      <c r="S1" t="s">
        <v>89</v>
      </c>
      <c r="T1" t="s">
        <v>91</v>
      </c>
      <c r="U1" t="s">
        <v>96</v>
      </c>
      <c r="V1" t="s">
        <v>1</v>
      </c>
      <c r="W1" t="s">
        <v>3</v>
      </c>
      <c r="X1" t="s">
        <v>12</v>
      </c>
      <c r="Y1" t="s">
        <v>14</v>
      </c>
      <c r="Z1" t="s">
        <v>15</v>
      </c>
      <c r="AA1" t="s">
        <v>27</v>
      </c>
      <c r="AB1" t="s">
        <v>32</v>
      </c>
      <c r="AC1" t="s">
        <v>57</v>
      </c>
      <c r="AD1" t="s">
        <v>73</v>
      </c>
      <c r="AE1" t="s">
        <v>77</v>
      </c>
      <c r="AF1" t="s">
        <v>78</v>
      </c>
      <c r="AG1" t="s">
        <v>80</v>
      </c>
      <c r="AH1" t="s">
        <v>84</v>
      </c>
      <c r="AI1" t="s">
        <v>90</v>
      </c>
      <c r="AJ1" t="s">
        <v>94</v>
      </c>
      <c r="AK1" t="s">
        <v>95</v>
      </c>
      <c r="AL1" t="s">
        <v>98</v>
      </c>
      <c r="AM1" t="s">
        <v>101</v>
      </c>
      <c r="AN1" t="s">
        <v>11</v>
      </c>
      <c r="AO1" t="s">
        <v>17</v>
      </c>
      <c r="AP1" t="s">
        <v>28</v>
      </c>
      <c r="AQ1" t="s">
        <v>30</v>
      </c>
      <c r="AR1" t="s">
        <v>60</v>
      </c>
      <c r="AS1" t="s">
        <v>72</v>
      </c>
      <c r="AT1" t="s">
        <v>82</v>
      </c>
      <c r="AU1" t="s">
        <v>99</v>
      </c>
      <c r="AV1" t="s">
        <v>8</v>
      </c>
      <c r="AW1" t="s">
        <v>74</v>
      </c>
      <c r="AX1" t="s">
        <v>5</v>
      </c>
      <c r="AY1" t="s">
        <v>53</v>
      </c>
      <c r="AZ1" t="s">
        <v>50</v>
      </c>
      <c r="BA1" t="s">
        <v>67</v>
      </c>
      <c r="BB1" t="s">
        <v>26</v>
      </c>
      <c r="BC1" t="s">
        <v>29</v>
      </c>
      <c r="BD1" t="s">
        <v>16</v>
      </c>
      <c r="BE1" t="s">
        <v>92</v>
      </c>
      <c r="BF1" t="s">
        <v>93</v>
      </c>
      <c r="BG1" t="s">
        <v>25</v>
      </c>
    </row>
    <row r="2" spans="1:59" x14ac:dyDescent="0.25">
      <c r="A2" t="s">
        <v>103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2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1</v>
      </c>
      <c r="AM2">
        <v>1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1</v>
      </c>
      <c r="AZ2">
        <v>1</v>
      </c>
      <c r="BA2">
        <v>0</v>
      </c>
      <c r="BB2">
        <v>0</v>
      </c>
      <c r="BC2">
        <v>1</v>
      </c>
      <c r="BD2">
        <v>2</v>
      </c>
      <c r="BE2">
        <v>0</v>
      </c>
      <c r="BF2">
        <v>0</v>
      </c>
      <c r="BG2">
        <v>0</v>
      </c>
    </row>
    <row r="3" spans="1:59" x14ac:dyDescent="0.25">
      <c r="A3" t="s">
        <v>105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2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1</v>
      </c>
      <c r="BG3">
        <v>1</v>
      </c>
    </row>
    <row r="4" spans="1:59" x14ac:dyDescent="0.25">
      <c r="A4" t="s">
        <v>107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</row>
    <row r="5" spans="1:59" x14ac:dyDescent="0.25">
      <c r="A5" t="s">
        <v>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5">
      <c r="A6" t="s">
        <v>111</v>
      </c>
      <c r="B6">
        <v>0</v>
      </c>
      <c r="C6">
        <v>3</v>
      </c>
      <c r="D6">
        <v>2</v>
      </c>
      <c r="E6">
        <v>2</v>
      </c>
      <c r="F6">
        <v>1</v>
      </c>
      <c r="G6">
        <v>0</v>
      </c>
      <c r="H6">
        <v>1</v>
      </c>
      <c r="I6">
        <v>1</v>
      </c>
      <c r="J6">
        <v>2</v>
      </c>
      <c r="K6">
        <v>2</v>
      </c>
      <c r="L6">
        <v>0</v>
      </c>
      <c r="M6">
        <v>2</v>
      </c>
      <c r="N6">
        <v>1</v>
      </c>
      <c r="O6">
        <v>2</v>
      </c>
      <c r="P6">
        <v>0</v>
      </c>
      <c r="Q6">
        <v>1</v>
      </c>
      <c r="R6">
        <v>1</v>
      </c>
      <c r="S6">
        <v>2</v>
      </c>
      <c r="T6">
        <v>2</v>
      </c>
      <c r="U6">
        <v>1</v>
      </c>
      <c r="V6">
        <v>3</v>
      </c>
      <c r="W6">
        <v>3</v>
      </c>
      <c r="X6">
        <v>2</v>
      </c>
      <c r="Y6">
        <v>2</v>
      </c>
      <c r="Z6">
        <v>2</v>
      </c>
      <c r="AA6">
        <v>2</v>
      </c>
      <c r="AB6">
        <v>2</v>
      </c>
      <c r="AC6">
        <v>3</v>
      </c>
      <c r="AD6">
        <v>3</v>
      </c>
      <c r="AE6">
        <v>1</v>
      </c>
      <c r="AF6">
        <v>2</v>
      </c>
      <c r="AG6">
        <v>2</v>
      </c>
      <c r="AH6">
        <v>3</v>
      </c>
      <c r="AI6">
        <v>2</v>
      </c>
      <c r="AJ6">
        <v>3</v>
      </c>
      <c r="AK6">
        <v>2</v>
      </c>
      <c r="AL6">
        <v>3</v>
      </c>
      <c r="AM6">
        <v>2</v>
      </c>
      <c r="AN6">
        <v>3</v>
      </c>
      <c r="AO6">
        <v>2</v>
      </c>
      <c r="AP6">
        <v>3</v>
      </c>
      <c r="AQ6">
        <v>2</v>
      </c>
      <c r="AR6">
        <v>3</v>
      </c>
      <c r="AS6">
        <v>4</v>
      </c>
      <c r="AT6">
        <v>3</v>
      </c>
      <c r="AU6">
        <v>3</v>
      </c>
      <c r="AV6">
        <v>0</v>
      </c>
      <c r="AW6">
        <v>4</v>
      </c>
      <c r="AX6">
        <v>6</v>
      </c>
      <c r="AY6">
        <v>0</v>
      </c>
      <c r="AZ6">
        <v>0</v>
      </c>
      <c r="BA6">
        <v>0</v>
      </c>
      <c r="BB6">
        <v>3</v>
      </c>
      <c r="BC6">
        <v>2</v>
      </c>
      <c r="BD6">
        <v>0</v>
      </c>
      <c r="BE6">
        <v>2</v>
      </c>
      <c r="BF6">
        <v>1</v>
      </c>
      <c r="BG6">
        <v>2</v>
      </c>
    </row>
    <row r="7" spans="1:59" x14ac:dyDescent="0.25">
      <c r="A7" t="s">
        <v>113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1</v>
      </c>
    </row>
    <row r="8" spans="1:59" x14ac:dyDescent="0.25">
      <c r="A8" t="s">
        <v>115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5">
      <c r="A9" t="s">
        <v>117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2</v>
      </c>
      <c r="AO9">
        <v>1</v>
      </c>
      <c r="AP9">
        <v>0</v>
      </c>
      <c r="AQ9">
        <v>0</v>
      </c>
      <c r="AR9">
        <v>1</v>
      </c>
      <c r="AS9">
        <v>1</v>
      </c>
      <c r="AT9">
        <v>1</v>
      </c>
      <c r="AU9">
        <v>1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5">
      <c r="A10" t="s">
        <v>118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</row>
    <row r="11" spans="1:59" x14ac:dyDescent="0.25">
      <c r="A11" t="s">
        <v>120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5">
      <c r="A12" t="s">
        <v>122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</row>
    <row r="13" spans="1:59" x14ac:dyDescent="0.25">
      <c r="A13" t="s">
        <v>124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25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1</v>
      </c>
    </row>
    <row r="15" spans="1:59" x14ac:dyDescent="0.25">
      <c r="A15" t="s">
        <v>128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25">
      <c r="A16" t="s">
        <v>130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25">
      <c r="A17" t="s">
        <v>131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25">
      <c r="A18" t="s">
        <v>132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</row>
    <row r="19" spans="1:59" x14ac:dyDescent="0.25">
      <c r="A19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</row>
    <row r="20" spans="1:59" x14ac:dyDescent="0.25">
      <c r="A20" t="s">
        <v>135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4</v>
      </c>
      <c r="AZ20">
        <v>6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</row>
    <row r="21" spans="1:59" x14ac:dyDescent="0.25">
      <c r="A21" t="s">
        <v>136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</row>
    <row r="22" spans="1:59" x14ac:dyDescent="0.25">
      <c r="A22" t="s">
        <v>138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</row>
    <row r="23" spans="1:59" x14ac:dyDescent="0.25">
      <c r="A23" t="s">
        <v>139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</row>
    <row r="24" spans="1:59" x14ac:dyDescent="0.25">
      <c r="A24" t="s">
        <v>141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</row>
    <row r="25" spans="1:59" x14ac:dyDescent="0.25">
      <c r="A25" t="s">
        <v>142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</row>
    <row r="26" spans="1:59" x14ac:dyDescent="0.25">
      <c r="A26" t="s">
        <v>143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</row>
    <row r="27" spans="1:59" x14ac:dyDescent="0.25">
      <c r="A27" t="s">
        <v>145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5">
      <c r="A28" t="s">
        <v>146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 x14ac:dyDescent="0.25">
      <c r="A29" t="s">
        <v>147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 x14ac:dyDescent="0.25">
      <c r="A30" t="s">
        <v>149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</row>
    <row r="31" spans="1:59" x14ac:dyDescent="0.25">
      <c r="A31" t="s">
        <v>151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1</v>
      </c>
    </row>
    <row r="32" spans="1:59" x14ac:dyDescent="0.25">
      <c r="A32" t="s">
        <v>152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1</v>
      </c>
    </row>
    <row r="33" spans="1:59" x14ac:dyDescent="0.25">
      <c r="A33" t="s">
        <v>154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</row>
    <row r="34" spans="1:59" x14ac:dyDescent="0.25">
      <c r="A34" t="s">
        <v>156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1</v>
      </c>
    </row>
    <row r="35" spans="1:59" x14ac:dyDescent="0.25">
      <c r="A35" t="s">
        <v>157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</row>
    <row r="36" spans="1:59" x14ac:dyDescent="0.25">
      <c r="A36" t="s">
        <v>159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</row>
    <row r="37" spans="1:59" x14ac:dyDescent="0.25">
      <c r="A37" t="s">
        <v>161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</row>
    <row r="38" spans="1:59" x14ac:dyDescent="0.25">
      <c r="A38" t="s">
        <v>163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</row>
    <row r="39" spans="1:59" x14ac:dyDescent="0.25">
      <c r="A39" t="s">
        <v>164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</row>
    <row r="40" spans="1:59" x14ac:dyDescent="0.25">
      <c r="A40" t="s">
        <v>166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1</v>
      </c>
    </row>
    <row r="41" spans="1:59" x14ac:dyDescent="0.25">
      <c r="A41" t="s">
        <v>168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</row>
    <row r="42" spans="1:59" x14ac:dyDescent="0.25">
      <c r="A42" t="s">
        <v>170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</row>
    <row r="43" spans="1:59" x14ac:dyDescent="0.25">
      <c r="A43" t="s">
        <v>172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1</v>
      </c>
    </row>
    <row r="44" spans="1:59" x14ac:dyDescent="0.25">
      <c r="A44" t="s">
        <v>173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 x14ac:dyDescent="0.25">
      <c r="A45" t="s">
        <v>175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 x14ac:dyDescent="0.25">
      <c r="A46" t="s">
        <v>177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1</v>
      </c>
      <c r="BF46">
        <v>0</v>
      </c>
      <c r="BG46">
        <v>0</v>
      </c>
    </row>
    <row r="47" spans="1:59" x14ac:dyDescent="0.25">
      <c r="A47" t="s">
        <v>179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0</v>
      </c>
      <c r="BE47">
        <v>0</v>
      </c>
      <c r="BF47">
        <v>0</v>
      </c>
      <c r="BG47">
        <v>0</v>
      </c>
    </row>
    <row r="48" spans="1:59" x14ac:dyDescent="0.25">
      <c r="A48" t="s">
        <v>180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25">
      <c r="A49" t="s">
        <v>182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</row>
    <row r="50" spans="1:59" x14ac:dyDescent="0.25">
      <c r="A50" t="s">
        <v>183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</row>
    <row r="51" spans="1:59" x14ac:dyDescent="0.25">
      <c r="A51" t="s">
        <v>185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0</v>
      </c>
    </row>
    <row r="52" spans="1:59" x14ac:dyDescent="0.25">
      <c r="A52" t="s">
        <v>186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 x14ac:dyDescent="0.25">
      <c r="A53" t="s">
        <v>188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 x14ac:dyDescent="0.25">
      <c r="A54" t="s">
        <v>190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 x14ac:dyDescent="0.25">
      <c r="A55" t="s">
        <v>191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 x14ac:dyDescent="0.25">
      <c r="A56" t="s">
        <v>193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 x14ac:dyDescent="0.25">
      <c r="A57" t="s">
        <v>195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1:59" x14ac:dyDescent="0.25">
      <c r="A58" t="s">
        <v>196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25">
      <c r="A59" t="s">
        <v>197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25">
      <c r="A60" t="s">
        <v>199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25">
      <c r="A61" t="s">
        <v>201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25">
      <c r="A62" t="s">
        <v>202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1:59" x14ac:dyDescent="0.25">
      <c r="A63" t="s">
        <v>203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 x14ac:dyDescent="0.25">
      <c r="A64" t="s">
        <v>204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</row>
    <row r="65" spans="1:59" x14ac:dyDescent="0.25">
      <c r="A65" t="s">
        <v>205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</row>
    <row r="66" spans="1:59" x14ac:dyDescent="0.25">
      <c r="A66" t="s">
        <v>207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</row>
    <row r="67" spans="1:59" x14ac:dyDescent="0.25">
      <c r="A67" t="s">
        <v>209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 x14ac:dyDescent="0.25">
      <c r="A68" t="s">
        <v>210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 x14ac:dyDescent="0.25">
      <c r="B69">
        <f t="shared" ref="B69:AG69" si="0">SUM(B2:B68)</f>
        <v>3</v>
      </c>
      <c r="C69">
        <f t="shared" si="0"/>
        <v>3</v>
      </c>
      <c r="D69">
        <f t="shared" si="0"/>
        <v>3</v>
      </c>
      <c r="E69">
        <f t="shared" si="0"/>
        <v>3</v>
      </c>
      <c r="F69">
        <f t="shared" si="0"/>
        <v>3</v>
      </c>
      <c r="G69">
        <f t="shared" si="0"/>
        <v>3</v>
      </c>
      <c r="H69">
        <f t="shared" si="0"/>
        <v>3</v>
      </c>
      <c r="I69">
        <f t="shared" si="0"/>
        <v>3</v>
      </c>
      <c r="J69">
        <f t="shared" si="0"/>
        <v>3</v>
      </c>
      <c r="K69">
        <f t="shared" si="0"/>
        <v>3</v>
      </c>
      <c r="L69">
        <f t="shared" si="0"/>
        <v>3</v>
      </c>
      <c r="M69">
        <f t="shared" si="0"/>
        <v>3</v>
      </c>
      <c r="N69">
        <f t="shared" si="0"/>
        <v>3</v>
      </c>
      <c r="O69">
        <f t="shared" si="0"/>
        <v>3</v>
      </c>
      <c r="P69">
        <f t="shared" si="0"/>
        <v>3</v>
      </c>
      <c r="Q69">
        <f t="shared" si="0"/>
        <v>3</v>
      </c>
      <c r="R69">
        <f t="shared" si="0"/>
        <v>3</v>
      </c>
      <c r="S69">
        <f t="shared" si="0"/>
        <v>3</v>
      </c>
      <c r="T69">
        <f t="shared" si="0"/>
        <v>3</v>
      </c>
      <c r="U69">
        <f t="shared" si="0"/>
        <v>3</v>
      </c>
      <c r="V69">
        <f t="shared" si="0"/>
        <v>4</v>
      </c>
      <c r="W69">
        <f t="shared" si="0"/>
        <v>4</v>
      </c>
      <c r="X69">
        <f t="shared" si="0"/>
        <v>4</v>
      </c>
      <c r="Y69">
        <f t="shared" si="0"/>
        <v>4</v>
      </c>
      <c r="Z69">
        <f t="shared" si="0"/>
        <v>4</v>
      </c>
      <c r="AA69">
        <f t="shared" si="0"/>
        <v>4</v>
      </c>
      <c r="AB69">
        <f t="shared" si="0"/>
        <v>4</v>
      </c>
      <c r="AC69">
        <f t="shared" si="0"/>
        <v>4</v>
      </c>
      <c r="AD69">
        <f t="shared" si="0"/>
        <v>4</v>
      </c>
      <c r="AE69">
        <f t="shared" si="0"/>
        <v>4</v>
      </c>
      <c r="AF69">
        <f t="shared" si="0"/>
        <v>4</v>
      </c>
      <c r="AG69">
        <f t="shared" si="0"/>
        <v>4</v>
      </c>
      <c r="AH69">
        <f t="shared" ref="AH69:BM69" si="1">SUM(AH2:AH68)</f>
        <v>4</v>
      </c>
      <c r="AI69">
        <f t="shared" si="1"/>
        <v>4</v>
      </c>
      <c r="AJ69">
        <f t="shared" si="1"/>
        <v>4</v>
      </c>
      <c r="AK69">
        <f t="shared" si="1"/>
        <v>4</v>
      </c>
      <c r="AL69">
        <f t="shared" si="1"/>
        <v>4</v>
      </c>
      <c r="AM69">
        <f t="shared" si="1"/>
        <v>4</v>
      </c>
      <c r="AN69">
        <f t="shared" si="1"/>
        <v>5</v>
      </c>
      <c r="AO69">
        <f t="shared" si="1"/>
        <v>5</v>
      </c>
      <c r="AP69">
        <f t="shared" si="1"/>
        <v>5</v>
      </c>
      <c r="AQ69">
        <f t="shared" si="1"/>
        <v>5</v>
      </c>
      <c r="AR69">
        <f t="shared" si="1"/>
        <v>5</v>
      </c>
      <c r="AS69">
        <f t="shared" si="1"/>
        <v>5</v>
      </c>
      <c r="AT69">
        <f t="shared" si="1"/>
        <v>5</v>
      </c>
      <c r="AU69">
        <f t="shared" si="1"/>
        <v>5</v>
      </c>
      <c r="AV69">
        <f t="shared" si="1"/>
        <v>6</v>
      </c>
      <c r="AW69">
        <f t="shared" si="1"/>
        <v>6</v>
      </c>
      <c r="AX69">
        <f t="shared" si="1"/>
        <v>7</v>
      </c>
      <c r="AY69">
        <f t="shared" si="1"/>
        <v>7</v>
      </c>
      <c r="AZ69">
        <f t="shared" si="1"/>
        <v>9</v>
      </c>
      <c r="BA69">
        <f t="shared" si="1"/>
        <v>9</v>
      </c>
      <c r="BB69">
        <f t="shared" si="1"/>
        <v>10</v>
      </c>
      <c r="BC69">
        <f t="shared" si="1"/>
        <v>10</v>
      </c>
      <c r="BD69">
        <f t="shared" si="1"/>
        <v>11</v>
      </c>
      <c r="BE69">
        <f t="shared" si="1"/>
        <v>11</v>
      </c>
      <c r="BF69">
        <f t="shared" si="1"/>
        <v>13</v>
      </c>
      <c r="BG69">
        <f t="shared" si="1"/>
        <v>21</v>
      </c>
    </row>
  </sheetData>
  <phoneticPr fontId="1" type="noConversion"/>
  <conditionalFormatting sqref="BI2:BI68 A2:BG68">
    <cfRule type="colorScale" priority="2">
      <colorScale>
        <cfvo type="min"/>
        <cfvo type="percentile" val="50"/>
        <cfvo type="max"/>
        <color rgb="FF0070C0"/>
        <color rgb="FFFFEB84"/>
        <color theme="9" tint="-0.249977111117893"/>
      </colorScale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68"/>
  <sheetViews>
    <sheetView tabSelected="1" topLeftCell="A19" zoomScale="115" zoomScaleNormal="115" workbookViewId="0">
      <selection activeCell="A44" sqref="A44"/>
    </sheetView>
  </sheetViews>
  <sheetFormatPr defaultColWidth="9" defaultRowHeight="14.4" x14ac:dyDescent="0.25"/>
  <cols>
    <col min="1" max="1" width="46" customWidth="1"/>
  </cols>
  <sheetData>
    <row r="1" spans="1:38" x14ac:dyDescent="0.25">
      <c r="A1" s="1" t="s">
        <v>211</v>
      </c>
      <c r="B1" t="s">
        <v>0</v>
      </c>
      <c r="C1" t="s">
        <v>34</v>
      </c>
      <c r="D1" t="s">
        <v>35</v>
      </c>
      <c r="E1" t="s">
        <v>37</v>
      </c>
      <c r="F1" t="s">
        <v>38</v>
      </c>
      <c r="G1" t="s">
        <v>65</v>
      </c>
      <c r="H1" t="s">
        <v>81</v>
      </c>
      <c r="I1" t="s">
        <v>87</v>
      </c>
      <c r="J1" t="s">
        <v>96</v>
      </c>
      <c r="K1" t="s">
        <v>12</v>
      </c>
      <c r="L1" t="s">
        <v>14</v>
      </c>
      <c r="M1" t="s">
        <v>15</v>
      </c>
      <c r="N1" t="s">
        <v>27</v>
      </c>
      <c r="O1" t="s">
        <v>32</v>
      </c>
      <c r="P1" t="s">
        <v>77</v>
      </c>
      <c r="Q1" t="s">
        <v>78</v>
      </c>
      <c r="R1" t="s">
        <v>80</v>
      </c>
      <c r="S1" t="s">
        <v>90</v>
      </c>
      <c r="T1" t="s">
        <v>95</v>
      </c>
      <c r="U1" t="s">
        <v>101</v>
      </c>
      <c r="V1" t="s">
        <v>17</v>
      </c>
      <c r="W1" t="s">
        <v>28</v>
      </c>
      <c r="X1" t="s">
        <v>30</v>
      </c>
      <c r="Y1" t="s">
        <v>60</v>
      </c>
      <c r="Z1" t="s">
        <v>82</v>
      </c>
      <c r="AA1" t="s">
        <v>99</v>
      </c>
      <c r="AB1" t="s">
        <v>8</v>
      </c>
      <c r="AC1" t="s">
        <v>74</v>
      </c>
      <c r="AD1" t="s">
        <v>53</v>
      </c>
      <c r="AE1" t="s">
        <v>50</v>
      </c>
      <c r="AF1" t="s">
        <v>67</v>
      </c>
      <c r="AG1" t="s">
        <v>26</v>
      </c>
      <c r="AH1" t="s">
        <v>29</v>
      </c>
      <c r="AI1" t="s">
        <v>16</v>
      </c>
      <c r="AJ1" t="s">
        <v>92</v>
      </c>
      <c r="AK1" t="s">
        <v>93</v>
      </c>
      <c r="AL1" t="s">
        <v>25</v>
      </c>
    </row>
    <row r="2" spans="1:38" x14ac:dyDescent="0.25">
      <c r="A2" t="s">
        <v>103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1</v>
      </c>
      <c r="AE2">
        <v>1</v>
      </c>
      <c r="AF2">
        <v>0</v>
      </c>
      <c r="AG2">
        <v>0</v>
      </c>
      <c r="AH2">
        <v>1</v>
      </c>
      <c r="AI2">
        <v>2</v>
      </c>
      <c r="AJ2">
        <v>0</v>
      </c>
      <c r="AK2">
        <v>0</v>
      </c>
      <c r="AL2">
        <v>0</v>
      </c>
    </row>
    <row r="3" spans="1:38" x14ac:dyDescent="0.25">
      <c r="A3" t="s">
        <v>105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2</v>
      </c>
      <c r="AC3">
        <v>0</v>
      </c>
      <c r="AD3">
        <v>0</v>
      </c>
      <c r="AE3">
        <v>0</v>
      </c>
      <c r="AF3">
        <v>1</v>
      </c>
      <c r="AG3">
        <v>0</v>
      </c>
      <c r="AH3">
        <v>1</v>
      </c>
      <c r="AI3">
        <v>0</v>
      </c>
      <c r="AJ3">
        <v>1</v>
      </c>
      <c r="AK3">
        <v>1</v>
      </c>
      <c r="AL3">
        <v>1</v>
      </c>
    </row>
    <row r="4" spans="1:38" x14ac:dyDescent="0.25">
      <c r="A4" t="s">
        <v>107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</row>
    <row r="5" spans="1:38" x14ac:dyDescent="0.25">
      <c r="A5" t="s">
        <v>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111</v>
      </c>
      <c r="B6">
        <v>0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2</v>
      </c>
      <c r="L6">
        <v>2</v>
      </c>
      <c r="M6">
        <v>2</v>
      </c>
      <c r="N6">
        <v>2</v>
      </c>
      <c r="O6">
        <v>2</v>
      </c>
      <c r="P6">
        <v>1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3</v>
      </c>
      <c r="X6">
        <v>2</v>
      </c>
      <c r="Y6">
        <v>3</v>
      </c>
      <c r="Z6">
        <v>3</v>
      </c>
      <c r="AA6">
        <v>3</v>
      </c>
      <c r="AB6">
        <v>0</v>
      </c>
      <c r="AC6">
        <v>4</v>
      </c>
      <c r="AD6">
        <v>0</v>
      </c>
      <c r="AE6">
        <v>0</v>
      </c>
      <c r="AF6">
        <v>0</v>
      </c>
      <c r="AG6">
        <v>3</v>
      </c>
      <c r="AH6">
        <v>2</v>
      </c>
      <c r="AI6">
        <v>0</v>
      </c>
      <c r="AJ6">
        <v>2</v>
      </c>
      <c r="AK6">
        <v>1</v>
      </c>
      <c r="AL6">
        <v>2</v>
      </c>
    </row>
    <row r="7" spans="1:38" x14ac:dyDescent="0.25">
      <c r="A7" t="s">
        <v>113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</row>
    <row r="8" spans="1:38" x14ac:dyDescent="0.25">
      <c r="A8" t="s">
        <v>115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117</v>
      </c>
      <c r="B9">
        <v>0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118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120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 t="s">
        <v>122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1</v>
      </c>
    </row>
    <row r="13" spans="1:38" x14ac:dyDescent="0.25">
      <c r="A13" t="s">
        <v>124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</row>
    <row r="15" spans="1:38" x14ac:dyDescent="0.25">
      <c r="A15" t="s">
        <v>128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 t="s">
        <v>130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t="s">
        <v>131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t="s">
        <v>132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</row>
    <row r="19" spans="1:38" x14ac:dyDescent="0.25">
      <c r="A19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</row>
    <row r="20" spans="1:38" x14ac:dyDescent="0.25">
      <c r="A20" t="s">
        <v>135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</v>
      </c>
      <c r="AE20">
        <v>6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136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</row>
    <row r="22" spans="1:38" x14ac:dyDescent="0.25">
      <c r="A22" t="s">
        <v>138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</row>
    <row r="23" spans="1:38" x14ac:dyDescent="0.25">
      <c r="A23" t="s">
        <v>139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s="1" t="s">
        <v>212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142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</row>
    <row r="26" spans="1:38" x14ac:dyDescent="0.25">
      <c r="A26" t="s">
        <v>143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</row>
    <row r="27" spans="1:38" x14ac:dyDescent="0.25">
      <c r="A27" t="s">
        <v>145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t="s">
        <v>146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 t="s">
        <v>147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 t="s">
        <v>149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</row>
    <row r="31" spans="1:38" x14ac:dyDescent="0.25">
      <c r="A31" t="s">
        <v>151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</row>
    <row r="32" spans="1:38" x14ac:dyDescent="0.25">
      <c r="A32" t="s">
        <v>152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</row>
    <row r="33" spans="1:38" x14ac:dyDescent="0.25">
      <c r="A33" t="s">
        <v>154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1</v>
      </c>
    </row>
    <row r="34" spans="1:38" x14ac:dyDescent="0.25">
      <c r="A34" t="s">
        <v>156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1</v>
      </c>
    </row>
    <row r="35" spans="1:38" x14ac:dyDescent="0.25">
      <c r="A35" t="s">
        <v>157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</row>
    <row r="36" spans="1:38" x14ac:dyDescent="0.25">
      <c r="A36" t="s">
        <v>159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</row>
    <row r="37" spans="1:38" x14ac:dyDescent="0.25">
      <c r="A37" t="s">
        <v>161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1</v>
      </c>
    </row>
    <row r="38" spans="1:38" x14ac:dyDescent="0.25">
      <c r="A38" t="s">
        <v>163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</row>
    <row r="39" spans="1:38" x14ac:dyDescent="0.25">
      <c r="A39" t="s">
        <v>164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</row>
    <row r="40" spans="1:38" x14ac:dyDescent="0.25">
      <c r="A40" t="s">
        <v>166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</row>
    <row r="41" spans="1:38" x14ac:dyDescent="0.25">
      <c r="A41" t="s">
        <v>168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</row>
    <row r="42" spans="1:38" x14ac:dyDescent="0.25">
      <c r="A42" t="s">
        <v>170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</row>
    <row r="43" spans="1:38" x14ac:dyDescent="0.25">
      <c r="A43" t="s">
        <v>172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0</v>
      </c>
      <c r="AJ43">
        <v>1</v>
      </c>
      <c r="AK43">
        <v>0</v>
      </c>
      <c r="AL43">
        <v>1</v>
      </c>
    </row>
    <row r="44" spans="1:38" x14ac:dyDescent="0.25">
      <c r="A44" s="1" t="s">
        <v>213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 t="s">
        <v>177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0</v>
      </c>
    </row>
    <row r="47" spans="1:38" x14ac:dyDescent="0.25">
      <c r="A47" t="s">
        <v>179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 t="s">
        <v>180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 t="s">
        <v>182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 t="s">
        <v>183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 t="s">
        <v>185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0</v>
      </c>
    </row>
    <row r="52" spans="1:38" x14ac:dyDescent="0.25">
      <c r="A52" t="s">
        <v>186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 t="s">
        <v>188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 t="s">
        <v>190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191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 t="s">
        <v>193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 t="s">
        <v>195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 t="s">
        <v>196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 t="s">
        <v>197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 t="s">
        <v>201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 t="s">
        <v>202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 t="s">
        <v>203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 t="s">
        <v>204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</row>
    <row r="65" spans="1:38" x14ac:dyDescent="0.25">
      <c r="A65" t="s">
        <v>205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</row>
    <row r="66" spans="1:38" x14ac:dyDescent="0.25">
      <c r="A66" t="s">
        <v>207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</row>
    <row r="67" spans="1:38" x14ac:dyDescent="0.25">
      <c r="A67" t="s">
        <v>209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 t="s">
        <v>210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</sheetData>
  <phoneticPr fontId="1" type="noConversion"/>
  <conditionalFormatting sqref="A2:AL68">
    <cfRule type="colorScale" priority="25">
      <colorScale>
        <cfvo type="min"/>
        <cfvo type="percentile" val="50"/>
        <cfvo type="max"/>
        <color rgb="FF0070C0"/>
        <color rgb="FFFFEB84"/>
        <color theme="9" tint="-0.249977111117893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liangjunmin</dc:creator>
  <cp:lastModifiedBy>xin zhou</cp:lastModifiedBy>
  <dcterms:created xsi:type="dcterms:W3CDTF">2023-05-12T11:15:00Z</dcterms:created>
  <dcterms:modified xsi:type="dcterms:W3CDTF">2025-09-19T01:32:34Z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22B2429C4CCD4977A79318C46E0F0DEF_12</vt:lpwstr>
  </property>
</Properties>
</file>